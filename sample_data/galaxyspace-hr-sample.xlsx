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6" sheetId="1" r:id="rId1"/>
    <sheet name="WpsReserved_CellImgList" sheetId="2" state="hidden" r:id="rId2"/>
  </sheets>
  <externalReferences>
    <externalReference r:id="rId3"/>
  </externalReferences>
  <definedNames>
    <definedName name="_xlnm._FilterDatabase" localSheetId="0" hidden="1">'2026'!$A$1:$BI$22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<sst xmlns="http://schemas.openxmlformats.org/spreadsheetml/2006/main" count="1138" uniqueCount="165">
  <si>
    <t>工号</t>
  </si>
  <si>
    <t>时间周期</t>
  </si>
  <si>
    <t>身份证姓名</t>
  </si>
  <si>
    <t>姓名/化名</t>
  </si>
  <si>
    <t>性别</t>
  </si>
  <si>
    <t>入职日期</t>
  </si>
  <si>
    <t>法人公司</t>
  </si>
  <si>
    <t>部门</t>
  </si>
  <si>
    <t>二级部门</t>
  </si>
  <si>
    <t>三级部门</t>
  </si>
  <si>
    <t>四级部门</t>
  </si>
  <si>
    <t>职务</t>
  </si>
  <si>
    <t>标准化后岗位名称</t>
  </si>
  <si>
    <t>汇报对象</t>
  </si>
  <si>
    <t>岗位序列</t>
  </si>
  <si>
    <t>当前专业职级</t>
  </si>
  <si>
    <t>当前专业职档</t>
  </si>
  <si>
    <t>当前专业职级生效时间</t>
  </si>
  <si>
    <t>当前专业职级时长</t>
  </si>
  <si>
    <t>上次晋升前专业职级</t>
  </si>
  <si>
    <t>上次晋升前专业职档</t>
  </si>
  <si>
    <t>上次晋升前专业职级生效时间</t>
  </si>
  <si>
    <t>当前管理级别</t>
  </si>
  <si>
    <t>当前管理级别生效时间</t>
  </si>
  <si>
    <t>当前管理职级时长</t>
  </si>
  <si>
    <t>工作地点</t>
  </si>
  <si>
    <t>员工性质</t>
  </si>
  <si>
    <t>合同类型</t>
  </si>
  <si>
    <t>年龄</t>
  </si>
  <si>
    <t>年龄区间</t>
  </si>
  <si>
    <t>出生日期</t>
  </si>
  <si>
    <t>身份证号</t>
  </si>
  <si>
    <t>开户行</t>
  </si>
  <si>
    <t>银行卡号</t>
  </si>
  <si>
    <t>商险</t>
  </si>
  <si>
    <t>学历</t>
  </si>
  <si>
    <t>学校</t>
  </si>
  <si>
    <t>毕业专业</t>
  </si>
  <si>
    <t>社保缴纳地</t>
  </si>
  <si>
    <t>身份证地址</t>
  </si>
  <si>
    <t>现住址</t>
  </si>
  <si>
    <t>籍贯</t>
  </si>
  <si>
    <t>民族</t>
  </si>
  <si>
    <t>政治面貌</t>
  </si>
  <si>
    <t>婚姻状况-更新</t>
  </si>
  <si>
    <t>户口性质</t>
  </si>
  <si>
    <t>手机</t>
  </si>
  <si>
    <t>邮箱</t>
  </si>
  <si>
    <t>成本中心属性</t>
  </si>
  <si>
    <t>职称</t>
  </si>
  <si>
    <t>司龄起算日</t>
  </si>
  <si>
    <t>司龄</t>
  </si>
  <si>
    <t>司龄区间</t>
  </si>
  <si>
    <t>HRBP</t>
  </si>
  <si>
    <t>首次工作时间</t>
  </si>
  <si>
    <t>工龄</t>
  </si>
  <si>
    <t>工龄区间</t>
  </si>
  <si>
    <t>合同到期日</t>
  </si>
  <si>
    <t>招聘方式</t>
  </si>
  <si>
    <t>员工状态</t>
  </si>
  <si>
    <t>正式入职银河主体时间</t>
  </si>
  <si>
    <t>R1242</t>
  </si>
  <si>
    <t>2026年Q1</t>
  </si>
  <si>
    <t>公衍辉</t>
  </si>
  <si>
    <t>男</t>
  </si>
  <si>
    <t>通信</t>
  </si>
  <si>
    <t>NTN中心</t>
  </si>
  <si>
    <t>基站部</t>
  </si>
  <si>
    <t>平台组</t>
  </si>
  <si>
    <t>平台</t>
  </si>
  <si>
    <t>FPGA高级工程师</t>
  </si>
  <si>
    <t>平台软件工程师（FPGA）</t>
  </si>
  <si>
    <t>奚凯</t>
  </si>
  <si>
    <t>技术序列</t>
  </si>
  <si>
    <t>5级</t>
  </si>
  <si>
    <t>2025-01-01</t>
  </si>
  <si>
    <t>北京</t>
  </si>
  <si>
    <t>正式员工</t>
  </si>
  <si>
    <t>全职</t>
  </si>
  <si>
    <t>有</t>
  </si>
  <si>
    <t>硕士</t>
  </si>
  <si>
    <t>杨利红</t>
  </si>
  <si>
    <t/>
  </si>
  <si>
    <t>正式</t>
  </si>
  <si>
    <t>R1350</t>
  </si>
  <si>
    <t>李亚滨</t>
  </si>
  <si>
    <t>传输与接入组</t>
  </si>
  <si>
    <t>传输与接入</t>
  </si>
  <si>
    <t>FPGA开发工程师</t>
  </si>
  <si>
    <t>算法与协议软件工程师（FPGA）</t>
  </si>
  <si>
    <t>R1430</t>
  </si>
  <si>
    <t>叶涛</t>
  </si>
  <si>
    <t>女</t>
  </si>
  <si>
    <t>测试组</t>
  </si>
  <si>
    <t>测试</t>
  </si>
  <si>
    <t>射频硬件设计师</t>
  </si>
  <si>
    <t>4级</t>
  </si>
  <si>
    <t>R1462</t>
  </si>
  <si>
    <t>王蓓</t>
  </si>
  <si>
    <t>数字硬件工程师</t>
  </si>
  <si>
    <t>管理-技术双序列</t>
  </si>
  <si>
    <t>副主管</t>
  </si>
  <si>
    <t>R1794</t>
  </si>
  <si>
    <t>李智高</t>
  </si>
  <si>
    <t>银河网络</t>
  </si>
  <si>
    <t>系统测试工程师</t>
  </si>
  <si>
    <t>本科</t>
  </si>
  <si>
    <t>R1814</t>
  </si>
  <si>
    <t>赵磊</t>
  </si>
  <si>
    <t>通信基站产品工程师</t>
  </si>
  <si>
    <t>R1835</t>
  </si>
  <si>
    <t>吴振辉</t>
  </si>
  <si>
    <t>平台开发工程师</t>
  </si>
  <si>
    <t>平台软件工程师（驱动）</t>
  </si>
  <si>
    <t>R1893</t>
  </si>
  <si>
    <t>李洋</t>
  </si>
  <si>
    <t>OM开发工程师</t>
  </si>
  <si>
    <t>平台软件工程师（OM）</t>
  </si>
  <si>
    <t>R1931</t>
  </si>
  <si>
    <t>赵允</t>
  </si>
  <si>
    <t>硬件工程师</t>
  </si>
  <si>
    <t>R1938</t>
  </si>
  <si>
    <t>付强</t>
  </si>
  <si>
    <t>R1937</t>
  </si>
  <si>
    <t>何楠</t>
  </si>
  <si>
    <t>R1949</t>
  </si>
  <si>
    <t>郭亮</t>
  </si>
  <si>
    <t>L2协议软件工程师</t>
  </si>
  <si>
    <t>算法与协议软件工程师（L2）</t>
  </si>
  <si>
    <t>R1956</t>
  </si>
  <si>
    <t>冯尊义</t>
  </si>
  <si>
    <t>平台软件工程师</t>
  </si>
  <si>
    <t>R1959</t>
  </si>
  <si>
    <t>高宇</t>
  </si>
  <si>
    <t>银河西安</t>
  </si>
  <si>
    <t>平台软件工程师（OMC）</t>
  </si>
  <si>
    <t>西安</t>
  </si>
  <si>
    <t>大专</t>
  </si>
  <si>
    <t>R1960</t>
  </si>
  <si>
    <t>赵欢</t>
  </si>
  <si>
    <t>R1964</t>
  </si>
  <si>
    <t>张振</t>
  </si>
  <si>
    <t>5-1</t>
  </si>
  <si>
    <t>2026-04-01</t>
  </si>
  <si>
    <t>R2007</t>
  </si>
  <si>
    <t>冯增光</t>
  </si>
  <si>
    <t>5-2</t>
  </si>
  <si>
    <t>R2016</t>
  </si>
  <si>
    <t>翟伟强</t>
  </si>
  <si>
    <t>R2032</t>
  </si>
  <si>
    <t>薛冰</t>
  </si>
  <si>
    <t>路由系统架构师</t>
  </si>
  <si>
    <t>算法与协议软件工程师（路由）</t>
  </si>
  <si>
    <t>R2061</t>
  </si>
  <si>
    <t>龚模辉</t>
  </si>
  <si>
    <t>R2144</t>
  </si>
  <si>
    <t>黎溢贤</t>
  </si>
  <si>
    <t>物理层协议软件工程师</t>
  </si>
  <si>
    <t>算法与协议软件工程师（物理层）</t>
  </si>
  <si>
    <t>孟雪伟</t>
  </si>
  <si>
    <t>试用</t>
  </si>
  <si>
    <t>2026年Q2</t>
  </si>
  <si>
    <t>乌镇</t>
  </si>
  <si>
    <t>杨阳阳</t>
  </si>
  <si>
    <t>周周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</si>
</sst>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\-mm\-dd;@"/>
    <numFmt numFmtId="178" formatCode="0.0_ "/>
  </numFmts>
  <fonts count="27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0"/>
      <color theme="10"/>
      <name val="微软雅黑"/>
      <charset val="134"/>
    </font>
    <font>
      <u/>
      <sz val="10"/>
      <color rgb="FF0000FF"/>
      <name val="微软雅黑"/>
      <charset val="134"/>
    </font>
    <font>
      <sz val="10"/>
      <color rgb="FF000000"/>
      <name val="微软雅黑, sans-serif"/>
      <charset val="134"/>
    </font>
    <font>
      <sz val="11"/>
      <color indexed="8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0" fillId="0" borderId="0" xfId="0" applyNumberFormat="1">
      <alignment vertical="center"/>
    </xf>
    <xf numFmtId="49" fontId="2" fillId="2" borderId="1" xfId="0" applyNumberFormat="1" applyFont="1" applyFill="1" applyBorder="1" applyAlignment="1" applyProtection="1">
      <alignment horizontal="center"/>
    </xf>
    <xf numFmtId="49" fontId="2" fillId="0" borderId="1" xfId="0" applyNumberFormat="1" applyFont="1" applyFill="1" applyBorder="1" applyAlignment="1" applyProtection="1">
      <alignment horizontal="center"/>
    </xf>
    <xf numFmtId="176" fontId="2" fillId="2" borderId="1" xfId="0" applyNumberFormat="1" applyFont="1" applyFill="1" applyBorder="1" applyAlignment="1" applyProtection="1">
      <alignment horizontal="center"/>
    </xf>
    <xf numFmtId="49" fontId="2" fillId="3" borderId="1" xfId="0" applyNumberFormat="1" applyFont="1" applyFill="1" applyBorder="1" applyAlignment="1" applyProtection="1">
      <alignment horizontal="center"/>
    </xf>
    <xf numFmtId="0" fontId="2" fillId="4" borderId="1" xfId="0" applyNumberFormat="1" applyFont="1" applyFill="1" applyBorder="1" applyAlignment="1" applyProtection="1">
      <alignment horizontal="center"/>
    </xf>
    <xf numFmtId="49" fontId="2" fillId="4" borderId="1" xfId="0" applyNumberFormat="1" applyFont="1" applyFill="1" applyBorder="1" applyAlignment="1" applyProtection="1">
      <alignment horizontal="center"/>
    </xf>
    <xf numFmtId="177" fontId="2" fillId="2" borderId="1" xfId="0" applyNumberFormat="1" applyFont="1" applyFill="1" applyBorder="1" applyAlignment="1" applyProtection="1">
      <alignment horizontal="center"/>
    </xf>
    <xf numFmtId="49" fontId="2" fillId="3" borderId="1" xfId="0" applyNumberFormat="1" applyFont="1" applyFill="1" applyBorder="1" applyAlignment="1" applyProtection="1"/>
    <xf numFmtId="49" fontId="3" fillId="0" borderId="1" xfId="0" applyNumberFormat="1" applyFont="1" applyFill="1" applyBorder="1" applyAlignment="1" applyProtection="1">
      <alignment horizontal="left"/>
    </xf>
    <xf numFmtId="176" fontId="2" fillId="4" borderId="1" xfId="0" applyNumberFormat="1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center"/>
    </xf>
    <xf numFmtId="14" fontId="3" fillId="0" borderId="1" xfId="0" applyNumberFormat="1" applyFont="1" applyFill="1" applyBorder="1" applyAlignment="1" applyProtection="1">
      <alignment horizontal="center"/>
    </xf>
    <xf numFmtId="49" fontId="3" fillId="3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 applyProtection="1">
      <alignment horizontal="center"/>
    </xf>
    <xf numFmtId="177" fontId="3" fillId="0" borderId="1" xfId="0" applyNumberFormat="1" applyFont="1" applyFill="1" applyBorder="1" applyAlignment="1" applyProtection="1">
      <alignment horizontal="center"/>
    </xf>
    <xf numFmtId="49" fontId="3" fillId="3" borderId="1" xfId="0" applyNumberFormat="1" applyFont="1" applyFill="1" applyBorder="1" applyAlignment="1" applyProtection="1"/>
    <xf numFmtId="49" fontId="3" fillId="5" borderId="1" xfId="0" applyNumberFormat="1" applyFont="1" applyFill="1" applyBorder="1" applyAlignment="1" applyProtection="1">
      <alignment horizontal="center"/>
    </xf>
    <xf numFmtId="49" fontId="4" fillId="0" borderId="1" xfId="0" applyNumberFormat="1" applyFont="1" applyFill="1" applyBorder="1" applyAlignment="1" applyProtection="1">
      <alignment horizontal="center"/>
    </xf>
    <xf numFmtId="176" fontId="3" fillId="0" borderId="1" xfId="0" applyNumberFormat="1" applyFont="1" applyFill="1" applyBorder="1" applyAlignment="1" applyProtection="1">
      <alignment horizontal="center"/>
    </xf>
    <xf numFmtId="178" fontId="3" fillId="0" borderId="1" xfId="0" applyNumberFormat="1" applyFont="1" applyFill="1" applyBorder="1" applyAlignment="1" applyProtection="1">
      <alignment horizontal="center"/>
    </xf>
    <xf numFmtId="49" fontId="3" fillId="6" borderId="1" xfId="0" applyNumberFormat="1" applyFont="1" applyFill="1" applyBorder="1" applyAlignment="1" applyProtection="1">
      <alignment horizontal="center"/>
    </xf>
    <xf numFmtId="49" fontId="5" fillId="0" borderId="1" xfId="0" applyNumberFormat="1" applyFont="1" applyFill="1" applyBorder="1" applyAlignment="1" applyProtection="1">
      <alignment horizontal="center"/>
    </xf>
    <xf numFmtId="176" fontId="3" fillId="3" borderId="1" xfId="0" applyNumberFormat="1" applyFont="1" applyFill="1" applyBorder="1" applyAlignment="1" applyProtection="1">
      <alignment horizontal="center"/>
    </xf>
    <xf numFmtId="176" fontId="3" fillId="0" borderId="1" xfId="0" applyNumberFormat="1" applyFont="1" applyFill="1" applyBorder="1" applyAlignment="1" applyProtection="1">
      <alignment horizontal="center" wrapText="1"/>
    </xf>
    <xf numFmtId="0" fontId="6" fillId="6" borderId="2" xfId="0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49" fontId="3" fillId="6" borderId="1" xfId="0" applyNumberFormat="1" applyFont="1" applyFill="1" applyBorder="1" applyAlignment="1" applyProtection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E2EFDA"/>
      <color rgb="00BFBFBF"/>
      <color rgb="000563C1"/>
      <color rgb="000000FF"/>
      <color rgb="00F3F3F3"/>
      <color rgb="00D0CECE"/>
      <color rgb="00FFFFFF"/>
      <color rgb="00B7E1CD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2452;&#32455;&#21644;&#20154;&#25165;&#21457;&#23637;\&#32452;&#32455;&#33021;&#21147;&#25552;&#21319;\&#36733;&#33655;&#22242;&#38431;&#32452;&#32455;&#33021;&#21147;&#25552;&#21319;\01%20&#25216;&#26415;&#24207;&#21015;&#33021;&#21147;&#26631;&#20934;&#24314;&#35774;\02-%202025&#24180;&#24230;&#32844;&#32423;&#26187;&#21319;\2025&#24180;&#24213;&#36733;&#33655;&#32844;&#32423;&#26187;&#21319;&#21592;&#24037;&#20449;&#24687;&#30424;&#28857;&#34920;-2025112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. 晋升基础条件审核表"/>
      <sheetName val="1. 晋升基础条件审核表-晋升人员名单"/>
      <sheetName val="2. 职级晋升数据概览表"/>
      <sheetName val="3.参与晋升的需要提交的材料限制 "/>
      <sheetName val="4.举证材料提交清单"/>
      <sheetName val="职级顺序"/>
    </sheetNames>
    <sheetDataSet>
      <sheetData sheetId="0"/>
      <sheetData sheetId="1">
        <row r="1">
          <cell r="B1" t="str">
            <v>身份证姓名</v>
          </cell>
          <cell r="C1" t="str">
            <v>姓名/化名</v>
          </cell>
          <cell r="D1" t="str">
            <v>性别</v>
          </cell>
          <cell r="E1" t="str">
            <v>入职日期</v>
          </cell>
          <cell r="F1" t="str">
            <v>部门</v>
          </cell>
          <cell r="G1" t="str">
            <v>二级部门</v>
          </cell>
          <cell r="H1" t="str">
            <v>岗位名称</v>
          </cell>
          <cell r="I1" t="str">
            <v>汇报对象</v>
          </cell>
          <cell r="J1" t="str">
            <v>24年中绩效</v>
          </cell>
          <cell r="K1" t="str">
            <v>24年底绩效</v>
          </cell>
          <cell r="L1" t="str">
            <v>25年中绩效</v>
          </cell>
          <cell r="M1" t="str">
            <v>绩效审核</v>
          </cell>
          <cell r="N1" t="str">
            <v>当前职级</v>
          </cell>
        </row>
        <row r="2">
          <cell r="B2" t="str">
            <v>宋浩</v>
          </cell>
          <cell r="C2" t="str">
            <v>宋浩</v>
          </cell>
          <cell r="D2" t="str">
            <v>男</v>
          </cell>
          <cell r="E2">
            <v>43299</v>
          </cell>
          <cell r="F2" t="str">
            <v>载荷毫米波部</v>
          </cell>
          <cell r="G2" t="str">
            <v>电源组</v>
          </cell>
          <cell r="H2" t="str">
            <v>电源工程师</v>
          </cell>
          <cell r="I2" t="str">
            <v>朱正贤</v>
          </cell>
          <cell r="J2" t="str">
            <v>B</v>
          </cell>
          <cell r="K2" t="str">
            <v>B</v>
          </cell>
          <cell r="L2" t="str">
            <v>B</v>
          </cell>
        </row>
        <row r="2">
          <cell r="N2" t="str">
            <v>推荐6级</v>
          </cell>
        </row>
        <row r="3">
          <cell r="B3" t="str">
            <v>高凡</v>
          </cell>
          <cell r="C3" t="str">
            <v>高凡</v>
          </cell>
          <cell r="D3" t="str">
            <v>男</v>
          </cell>
          <cell r="E3">
            <v>45573</v>
          </cell>
          <cell r="F3" t="str">
            <v>载荷毫米波部</v>
          </cell>
          <cell r="G3" t="str">
            <v>电源组</v>
          </cell>
          <cell r="H3" t="str">
            <v>电源工程师</v>
          </cell>
          <cell r="I3" t="str">
            <v>宋浩</v>
          </cell>
          <cell r="J3" t="str">
            <v>-</v>
          </cell>
          <cell r="K3" t="str">
            <v>B</v>
          </cell>
          <cell r="L3" t="str">
            <v>B</v>
          </cell>
          <cell r="M3" t="str">
            <v>不符合</v>
          </cell>
          <cell r="N3" t="str">
            <v>5-2</v>
          </cell>
        </row>
        <row r="4">
          <cell r="B4" t="str">
            <v>蔡达真</v>
          </cell>
          <cell r="C4" t="str">
            <v>蔡达真</v>
          </cell>
          <cell r="D4" t="str">
            <v>女</v>
          </cell>
          <cell r="E4">
            <v>43565</v>
          </cell>
          <cell r="F4" t="str">
            <v>载荷毫米波部</v>
          </cell>
          <cell r="G4" t="str">
            <v>电源组</v>
          </cell>
          <cell r="H4" t="str">
            <v>电源工程师</v>
          </cell>
          <cell r="I4" t="str">
            <v>宋浩</v>
          </cell>
          <cell r="J4" t="str">
            <v>B</v>
          </cell>
          <cell r="K4" t="str">
            <v>B</v>
          </cell>
          <cell r="L4" t="str">
            <v>B+</v>
          </cell>
          <cell r="M4" t="str">
            <v>符合</v>
          </cell>
          <cell r="N4" t="str">
            <v>5-1</v>
          </cell>
        </row>
        <row r="5">
          <cell r="B5" t="str">
            <v>喻明</v>
          </cell>
          <cell r="C5" t="str">
            <v>喻明</v>
          </cell>
          <cell r="D5" t="str">
            <v>男</v>
          </cell>
          <cell r="E5">
            <v>44382</v>
          </cell>
          <cell r="F5" t="str">
            <v>载荷毫米波部</v>
          </cell>
          <cell r="G5" t="str">
            <v>电源组</v>
          </cell>
          <cell r="H5" t="str">
            <v>电源工程师</v>
          </cell>
          <cell r="I5" t="str">
            <v>宋浩</v>
          </cell>
          <cell r="J5" t="str">
            <v>A</v>
          </cell>
          <cell r="K5" t="str">
            <v>B</v>
          </cell>
          <cell r="L5" t="str">
            <v>B+</v>
          </cell>
          <cell r="M5" t="str">
            <v>符合</v>
          </cell>
          <cell r="N5" t="str">
            <v>4-3</v>
          </cell>
        </row>
        <row r="6">
          <cell r="B6" t="str">
            <v>齐召</v>
          </cell>
          <cell r="C6" t="str">
            <v>齐召</v>
          </cell>
          <cell r="D6" t="str">
            <v>男</v>
          </cell>
          <cell r="E6">
            <v>45124</v>
          </cell>
          <cell r="F6" t="str">
            <v>载荷毫米波部</v>
          </cell>
          <cell r="G6" t="str">
            <v>电源组</v>
          </cell>
          <cell r="H6" t="str">
            <v>电源工程师</v>
          </cell>
          <cell r="I6" t="str">
            <v>宋浩</v>
          </cell>
          <cell r="J6" t="str">
            <v>B</v>
          </cell>
          <cell r="K6" t="str">
            <v>B</v>
          </cell>
          <cell r="L6" t="str">
            <v>B</v>
          </cell>
          <cell r="M6" t="str">
            <v>符合</v>
          </cell>
          <cell r="N6" t="str">
            <v>4-3</v>
          </cell>
        </row>
        <row r="7">
          <cell r="B7" t="str">
            <v>柏杨</v>
          </cell>
          <cell r="C7" t="str">
            <v>柏杨</v>
          </cell>
          <cell r="D7" t="str">
            <v>男</v>
          </cell>
          <cell r="E7">
            <v>44869</v>
          </cell>
          <cell r="F7" t="str">
            <v>载荷毫米波部</v>
          </cell>
          <cell r="G7" t="str">
            <v>电源组</v>
          </cell>
          <cell r="H7" t="str">
            <v>电源工程师</v>
          </cell>
          <cell r="I7" t="str">
            <v>宋浩</v>
          </cell>
          <cell r="J7" t="str">
            <v>B</v>
          </cell>
          <cell r="K7" t="str">
            <v>B</v>
          </cell>
          <cell r="L7" t="str">
            <v>B</v>
          </cell>
          <cell r="M7" t="str">
            <v>符合</v>
          </cell>
          <cell r="N7" t="str">
            <v>4-2</v>
          </cell>
        </row>
        <row r="8">
          <cell r="B8" t="str">
            <v>赵军峰</v>
          </cell>
          <cell r="C8" t="str">
            <v>赵军峰</v>
          </cell>
          <cell r="D8" t="str">
            <v>男</v>
          </cell>
          <cell r="E8">
            <v>45110</v>
          </cell>
          <cell r="F8" t="str">
            <v>载荷毫米波部</v>
          </cell>
          <cell r="G8" t="str">
            <v>电源组</v>
          </cell>
          <cell r="H8" t="str">
            <v>电源工程师</v>
          </cell>
          <cell r="I8" t="str">
            <v>宋浩</v>
          </cell>
          <cell r="J8" t="str">
            <v>B</v>
          </cell>
          <cell r="K8" t="str">
            <v>B</v>
          </cell>
          <cell r="L8" t="str">
            <v>B</v>
          </cell>
          <cell r="M8" t="str">
            <v>符合</v>
          </cell>
          <cell r="N8" t="str">
            <v>3-2</v>
          </cell>
        </row>
        <row r="9">
          <cell r="B9" t="str">
            <v>刘泽环</v>
          </cell>
          <cell r="C9" t="str">
            <v>刘泽环</v>
          </cell>
          <cell r="D9" t="str">
            <v>男</v>
          </cell>
          <cell r="E9">
            <v>45783</v>
          </cell>
          <cell r="F9" t="str">
            <v>载荷毫米波部</v>
          </cell>
          <cell r="G9" t="str">
            <v>工艺结构组</v>
          </cell>
          <cell r="H9" t="str">
            <v>结构工程师</v>
          </cell>
          <cell r="I9" t="str">
            <v>徐麒凯</v>
          </cell>
          <cell r="J9" t="str">
            <v>-</v>
          </cell>
          <cell r="K9" t="str">
            <v>-</v>
          </cell>
          <cell r="L9" t="str">
            <v>-</v>
          </cell>
        </row>
        <row r="9">
          <cell r="N9" t="e">
            <v>#N/A</v>
          </cell>
        </row>
        <row r="10">
          <cell r="B10" t="str">
            <v>刘娟</v>
          </cell>
          <cell r="C10" t="str">
            <v>刘娟</v>
          </cell>
          <cell r="D10" t="str">
            <v>女</v>
          </cell>
          <cell r="E10">
            <v>45839</v>
          </cell>
          <cell r="F10" t="str">
            <v>载荷毫米波部</v>
          </cell>
          <cell r="G10" t="str">
            <v>工艺结构组</v>
          </cell>
          <cell r="H10" t="str">
            <v>微封装/单板工艺工程师</v>
          </cell>
          <cell r="I10" t="str">
            <v>徐麒凯</v>
          </cell>
          <cell r="J10" t="str">
            <v>-</v>
          </cell>
          <cell r="K10" t="str">
            <v>-</v>
          </cell>
          <cell r="L10" t="str">
            <v>-</v>
          </cell>
        </row>
        <row r="10">
          <cell r="N10" t="e">
            <v>#N/A</v>
          </cell>
        </row>
        <row r="11">
          <cell r="B11" t="str">
            <v>林子晨</v>
          </cell>
          <cell r="C11" t="str">
            <v>林子晨</v>
          </cell>
          <cell r="D11" t="str">
            <v>男</v>
          </cell>
          <cell r="E11">
            <v>45925</v>
          </cell>
          <cell r="F11" t="str">
            <v>载荷毫米波部</v>
          </cell>
          <cell r="G11" t="str">
            <v>工艺结构组</v>
          </cell>
          <cell r="H11" t="str">
            <v>热设计工程师</v>
          </cell>
          <cell r="I11" t="str">
            <v>徐麒凯</v>
          </cell>
          <cell r="J11" t="str">
            <v>-</v>
          </cell>
          <cell r="K11" t="str">
            <v>-</v>
          </cell>
          <cell r="L11" t="str">
            <v>-</v>
          </cell>
        </row>
        <row r="11">
          <cell r="N11" t="e">
            <v>#N/A</v>
          </cell>
        </row>
        <row r="12">
          <cell r="B12" t="str">
            <v>徐麒凯</v>
          </cell>
          <cell r="C12" t="str">
            <v>徐麒凯</v>
          </cell>
          <cell r="D12" t="str">
            <v>男</v>
          </cell>
          <cell r="E12">
            <v>43444</v>
          </cell>
          <cell r="F12" t="str">
            <v>载荷毫米波部</v>
          </cell>
          <cell r="G12" t="str">
            <v>工艺结构组</v>
          </cell>
          <cell r="H12" t="str">
            <v>微封装/单板工艺工程师</v>
          </cell>
          <cell r="I12" t="str">
            <v>朱正贤</v>
          </cell>
          <cell r="J12" t="str">
            <v>B</v>
          </cell>
          <cell r="K12" t="str">
            <v>B</v>
          </cell>
          <cell r="L12" t="str">
            <v>B</v>
          </cell>
        </row>
        <row r="12">
          <cell r="N12" t="str">
            <v>推荐6级</v>
          </cell>
        </row>
        <row r="13">
          <cell r="B13" t="str">
            <v>范琦</v>
          </cell>
          <cell r="C13" t="str">
            <v>范琦</v>
          </cell>
          <cell r="D13" t="str">
            <v>男</v>
          </cell>
          <cell r="E13">
            <v>44204</v>
          </cell>
          <cell r="F13" t="str">
            <v>载荷毫米波部</v>
          </cell>
          <cell r="G13" t="str">
            <v>工艺结构组</v>
          </cell>
          <cell r="H13" t="str">
            <v>热设计工程师</v>
          </cell>
          <cell r="I13" t="str">
            <v>徐麒凯</v>
          </cell>
          <cell r="J13" t="str">
            <v>B+</v>
          </cell>
          <cell r="K13" t="str">
            <v>B</v>
          </cell>
          <cell r="L13" t="str">
            <v>B</v>
          </cell>
          <cell r="M13" t="str">
            <v>不符合</v>
          </cell>
          <cell r="N13" t="str">
            <v>5-2</v>
          </cell>
        </row>
        <row r="14">
          <cell r="B14" t="str">
            <v>魏玉昌</v>
          </cell>
          <cell r="C14" t="str">
            <v>魏玉昌</v>
          </cell>
          <cell r="D14" t="str">
            <v>男</v>
          </cell>
          <cell r="E14">
            <v>43307</v>
          </cell>
          <cell r="F14" t="str">
            <v>载荷毫米波部</v>
          </cell>
          <cell r="G14" t="str">
            <v>工艺结构组</v>
          </cell>
          <cell r="H14" t="str">
            <v>结构工程师</v>
          </cell>
          <cell r="I14" t="str">
            <v>徐麒凯</v>
          </cell>
          <cell r="J14" t="str">
            <v>B</v>
          </cell>
          <cell r="K14" t="str">
            <v>A</v>
          </cell>
          <cell r="L14" t="str">
            <v>B+</v>
          </cell>
          <cell r="M14" t="str">
            <v>可提破格</v>
          </cell>
          <cell r="N14" t="str">
            <v>5-1</v>
          </cell>
        </row>
        <row r="15">
          <cell r="B15" t="str">
            <v>荔智强</v>
          </cell>
          <cell r="C15" t="str">
            <v>荔智强</v>
          </cell>
          <cell r="D15" t="str">
            <v>男</v>
          </cell>
          <cell r="E15">
            <v>43922</v>
          </cell>
          <cell r="F15" t="str">
            <v>载荷毫米波部</v>
          </cell>
          <cell r="G15" t="str">
            <v>工艺结构组</v>
          </cell>
          <cell r="H15" t="str">
            <v>微封装/单板工艺工程师</v>
          </cell>
          <cell r="I15" t="str">
            <v>徐麒凯</v>
          </cell>
          <cell r="J15" t="str">
            <v>B+</v>
          </cell>
          <cell r="K15" t="str">
            <v>B</v>
          </cell>
          <cell r="L15" t="str">
            <v>B+</v>
          </cell>
          <cell r="M15" t="str">
            <v>符合</v>
          </cell>
          <cell r="N15" t="str">
            <v>5-1</v>
          </cell>
        </row>
        <row r="16">
          <cell r="B16" t="str">
            <v>屈钢</v>
          </cell>
          <cell r="C16" t="str">
            <v>屈钢</v>
          </cell>
          <cell r="D16" t="str">
            <v>男</v>
          </cell>
          <cell r="E16">
            <v>44298</v>
          </cell>
          <cell r="F16" t="str">
            <v>载荷毫米波部</v>
          </cell>
          <cell r="G16" t="str">
            <v>工艺结构组</v>
          </cell>
          <cell r="H16" t="str">
            <v>整机工艺工程师</v>
          </cell>
          <cell r="I16" t="str">
            <v>徐麒凯</v>
          </cell>
          <cell r="J16" t="str">
            <v>A</v>
          </cell>
          <cell r="K16" t="str">
            <v>B</v>
          </cell>
          <cell r="L16" t="str">
            <v>A</v>
          </cell>
          <cell r="M16" t="str">
            <v>符合</v>
          </cell>
          <cell r="N16" t="str">
            <v>5-1</v>
          </cell>
        </row>
        <row r="17">
          <cell r="B17" t="str">
            <v>王宝龙</v>
          </cell>
          <cell r="C17" t="str">
            <v>王宝龙</v>
          </cell>
          <cell r="D17" t="str">
            <v>男</v>
          </cell>
          <cell r="E17">
            <v>43455</v>
          </cell>
          <cell r="F17" t="str">
            <v>载荷毫米波部</v>
          </cell>
          <cell r="G17" t="str">
            <v>工艺结构组</v>
          </cell>
          <cell r="H17" t="str">
            <v>结构工程师</v>
          </cell>
          <cell r="I17" t="str">
            <v>徐麒凯</v>
          </cell>
          <cell r="J17" t="str">
            <v>C</v>
          </cell>
          <cell r="K17" t="str">
            <v>B</v>
          </cell>
          <cell r="L17" t="str">
            <v>B+</v>
          </cell>
          <cell r="M17" t="str">
            <v>符合</v>
          </cell>
          <cell r="N17" t="str">
            <v>4-3</v>
          </cell>
        </row>
        <row r="18">
          <cell r="B18" t="str">
            <v>樊明国</v>
          </cell>
          <cell r="C18" t="str">
            <v>樊明国</v>
          </cell>
          <cell r="D18" t="str">
            <v>男</v>
          </cell>
          <cell r="E18">
            <v>43703</v>
          </cell>
          <cell r="F18" t="str">
            <v>载荷毫米波部</v>
          </cell>
          <cell r="G18" t="str">
            <v>工艺结构组</v>
          </cell>
          <cell r="H18" t="str">
            <v>微封装/单板工艺工程师</v>
          </cell>
          <cell r="I18" t="str">
            <v>徐麒凯</v>
          </cell>
          <cell r="J18" t="str">
            <v>B</v>
          </cell>
          <cell r="K18" t="str">
            <v>B</v>
          </cell>
          <cell r="L18" t="str">
            <v>C</v>
          </cell>
          <cell r="M18" t="str">
            <v>不符合</v>
          </cell>
          <cell r="N18" t="str">
            <v>4-3</v>
          </cell>
        </row>
        <row r="19">
          <cell r="B19" t="str">
            <v>张倩</v>
          </cell>
          <cell r="C19" t="str">
            <v>张倩</v>
          </cell>
          <cell r="D19" t="str">
            <v>女</v>
          </cell>
          <cell r="E19">
            <v>45110</v>
          </cell>
          <cell r="F19" t="str">
            <v>载荷毫米波部</v>
          </cell>
          <cell r="G19" t="str">
            <v>工艺结构组</v>
          </cell>
          <cell r="H19" t="str">
            <v>整机工艺工程师</v>
          </cell>
          <cell r="I19" t="str">
            <v>徐麒凯</v>
          </cell>
          <cell r="J19" t="str">
            <v>B</v>
          </cell>
          <cell r="K19" t="str">
            <v>B</v>
          </cell>
          <cell r="L19" t="str">
            <v>B</v>
          </cell>
          <cell r="M19" t="str">
            <v>符合</v>
          </cell>
          <cell r="N19" t="str">
            <v>4-2</v>
          </cell>
        </row>
        <row r="20">
          <cell r="B20" t="str">
            <v>秦雷</v>
          </cell>
          <cell r="C20" t="str">
            <v>秦雷</v>
          </cell>
          <cell r="D20" t="str">
            <v>男</v>
          </cell>
          <cell r="E20">
            <v>45009</v>
          </cell>
          <cell r="F20" t="str">
            <v>载荷毫米波部</v>
          </cell>
          <cell r="G20" t="str">
            <v>工艺结构组</v>
          </cell>
          <cell r="H20" t="str">
            <v>微封装/单板工艺工程师</v>
          </cell>
          <cell r="I20" t="str">
            <v>徐麒凯</v>
          </cell>
          <cell r="J20" t="str">
            <v>B</v>
          </cell>
          <cell r="K20" t="str">
            <v>B</v>
          </cell>
          <cell r="L20" t="str">
            <v>B-</v>
          </cell>
          <cell r="M20" t="str">
            <v>不符合</v>
          </cell>
          <cell r="N20" t="str">
            <v>4-1</v>
          </cell>
        </row>
        <row r="21">
          <cell r="B21" t="str">
            <v>王顺亮</v>
          </cell>
          <cell r="C21" t="str">
            <v>王顺亮</v>
          </cell>
          <cell r="D21" t="str">
            <v>男</v>
          </cell>
          <cell r="E21">
            <v>44747</v>
          </cell>
          <cell r="F21" t="str">
            <v>载荷毫米波部</v>
          </cell>
          <cell r="G21" t="str">
            <v>工艺结构组</v>
          </cell>
          <cell r="H21" t="str">
            <v>热设计工程师</v>
          </cell>
          <cell r="I21" t="str">
            <v>徐麒凯</v>
          </cell>
          <cell r="J21" t="str">
            <v>B</v>
          </cell>
          <cell r="K21" t="str">
            <v>B</v>
          </cell>
          <cell r="L21" t="str">
            <v>B</v>
          </cell>
          <cell r="M21" t="str">
            <v>不符合</v>
          </cell>
          <cell r="N21" t="str">
            <v>3-3</v>
          </cell>
        </row>
        <row r="22">
          <cell r="B22" t="str">
            <v>王妍</v>
          </cell>
          <cell r="C22" t="str">
            <v>王妍</v>
          </cell>
          <cell r="D22" t="str">
            <v>女</v>
          </cell>
          <cell r="E22">
            <v>44747</v>
          </cell>
          <cell r="F22" t="str">
            <v>载荷毫米波部</v>
          </cell>
          <cell r="G22" t="str">
            <v>工艺结构组</v>
          </cell>
          <cell r="H22" t="str">
            <v>结构工程师</v>
          </cell>
          <cell r="I22" t="str">
            <v>徐麒凯</v>
          </cell>
          <cell r="J22" t="str">
            <v>B</v>
          </cell>
          <cell r="K22" t="str">
            <v>B</v>
          </cell>
          <cell r="L22" t="str">
            <v>B</v>
          </cell>
          <cell r="M22" t="str">
            <v>不符合</v>
          </cell>
          <cell r="N22" t="str">
            <v>3-3</v>
          </cell>
        </row>
        <row r="23">
          <cell r="B23" t="str">
            <v>张学超</v>
          </cell>
          <cell r="C23" t="str">
            <v>张学超</v>
          </cell>
          <cell r="D23" t="str">
            <v>男</v>
          </cell>
          <cell r="E23">
            <v>43590</v>
          </cell>
          <cell r="F23" t="str">
            <v>载荷毫米波部</v>
          </cell>
          <cell r="G23" t="str">
            <v>毫米波制造组</v>
          </cell>
          <cell r="H23" t="str">
            <v>测试开发工程师</v>
          </cell>
          <cell r="I23" t="str">
            <v>朱正贤</v>
          </cell>
          <cell r="J23" t="str">
            <v>B+</v>
          </cell>
          <cell r="K23" t="str">
            <v>B</v>
          </cell>
          <cell r="L23" t="str">
            <v>B</v>
          </cell>
        </row>
        <row r="23">
          <cell r="N23" t="str">
            <v>5-3</v>
          </cell>
        </row>
        <row r="24">
          <cell r="B24" t="str">
            <v>陈晓斐</v>
          </cell>
          <cell r="C24" t="str">
            <v>陈晓斐</v>
          </cell>
          <cell r="D24" t="str">
            <v>男</v>
          </cell>
          <cell r="E24">
            <v>44391</v>
          </cell>
          <cell r="F24" t="str">
            <v>载荷毫米波部</v>
          </cell>
          <cell r="G24" t="str">
            <v>毫米波制造组</v>
          </cell>
          <cell r="H24" t="str">
            <v>测试软件开发工程师</v>
          </cell>
          <cell r="I24" t="str">
            <v>张学超</v>
          </cell>
          <cell r="J24" t="str">
            <v>A</v>
          </cell>
          <cell r="K24" t="str">
            <v>B</v>
          </cell>
          <cell r="L24" t="str">
            <v>B</v>
          </cell>
          <cell r="M24" t="str">
            <v>不符合</v>
          </cell>
          <cell r="N24" t="str">
            <v>5-2</v>
          </cell>
        </row>
        <row r="25">
          <cell r="B25" t="str">
            <v>杜慧</v>
          </cell>
          <cell r="C25" t="str">
            <v>杜慧</v>
          </cell>
          <cell r="D25" t="str">
            <v>女</v>
          </cell>
          <cell r="E25">
            <v>44986</v>
          </cell>
          <cell r="F25" t="str">
            <v>载荷毫米波部</v>
          </cell>
          <cell r="G25" t="str">
            <v>毫米波制造组</v>
          </cell>
          <cell r="H25" t="str">
            <v>测试开发工程师</v>
          </cell>
          <cell r="I25" t="str">
            <v>张学超</v>
          </cell>
          <cell r="J25" t="str">
            <v>B</v>
          </cell>
          <cell r="K25" t="str">
            <v>B</v>
          </cell>
          <cell r="L25" t="str">
            <v>B</v>
          </cell>
          <cell r="M25" t="str">
            <v>不符合</v>
          </cell>
          <cell r="N25" t="str">
            <v>5-2</v>
          </cell>
        </row>
        <row r="26">
          <cell r="B26" t="str">
            <v>梁佩佩</v>
          </cell>
          <cell r="C26" t="str">
            <v>梁佩佩</v>
          </cell>
          <cell r="D26" t="str">
            <v>女</v>
          </cell>
          <cell r="E26">
            <v>44025</v>
          </cell>
          <cell r="F26" t="str">
            <v>载荷毫米波部</v>
          </cell>
          <cell r="G26" t="str">
            <v>毫米波制造组</v>
          </cell>
          <cell r="H26" t="str">
            <v>测试开发工程师</v>
          </cell>
          <cell r="I26" t="str">
            <v>张学超</v>
          </cell>
          <cell r="J26" t="str">
            <v>B+</v>
          </cell>
          <cell r="K26" t="str">
            <v>A</v>
          </cell>
          <cell r="L26" t="str">
            <v>B</v>
          </cell>
          <cell r="M26" t="str">
            <v>符合</v>
          </cell>
          <cell r="N26" t="str">
            <v>5-1</v>
          </cell>
        </row>
        <row r="27">
          <cell r="B27" t="str">
            <v>李新籽</v>
          </cell>
          <cell r="C27" t="str">
            <v>李新籽</v>
          </cell>
          <cell r="D27" t="str">
            <v>男</v>
          </cell>
          <cell r="E27">
            <v>44316</v>
          </cell>
          <cell r="F27" t="str">
            <v>载荷毫米波部</v>
          </cell>
          <cell r="G27" t="str">
            <v>毫米波制造组</v>
          </cell>
          <cell r="H27" t="str">
            <v>测试软件开发工程师</v>
          </cell>
          <cell r="I27" t="str">
            <v>张学超</v>
          </cell>
          <cell r="J27" t="str">
            <v>B</v>
          </cell>
          <cell r="K27" t="str">
            <v>B</v>
          </cell>
          <cell r="L27" t="str">
            <v>B+</v>
          </cell>
          <cell r="M27" t="str">
            <v>符合</v>
          </cell>
          <cell r="N27" t="str">
            <v>5-1</v>
          </cell>
        </row>
        <row r="28">
          <cell r="B28" t="str">
            <v>廖琳芸</v>
          </cell>
          <cell r="C28" t="str">
            <v>廖琳芸</v>
          </cell>
          <cell r="D28" t="str">
            <v>女</v>
          </cell>
          <cell r="E28">
            <v>44631</v>
          </cell>
          <cell r="F28" t="str">
            <v>载荷毫米波部</v>
          </cell>
          <cell r="G28" t="str">
            <v>毫米波制造组</v>
          </cell>
          <cell r="H28" t="str">
            <v>测试开发工程师</v>
          </cell>
          <cell r="I28" t="str">
            <v>张学超</v>
          </cell>
          <cell r="J28" t="str">
            <v>B+</v>
          </cell>
          <cell r="K28" t="str">
            <v>B</v>
          </cell>
          <cell r="L28" t="str">
            <v>B</v>
          </cell>
          <cell r="M28" t="str">
            <v>符合</v>
          </cell>
          <cell r="N28" t="str">
            <v>5-1</v>
          </cell>
        </row>
        <row r="29">
          <cell r="B29" t="str">
            <v>陈仕瑜</v>
          </cell>
          <cell r="C29" t="str">
            <v>陈仕瑜</v>
          </cell>
          <cell r="D29" t="str">
            <v>男</v>
          </cell>
          <cell r="E29">
            <v>44986</v>
          </cell>
          <cell r="F29" t="str">
            <v>载荷毫米波部</v>
          </cell>
          <cell r="G29" t="str">
            <v>毫米波制造组</v>
          </cell>
          <cell r="H29" t="str">
            <v>测试开发工程师</v>
          </cell>
          <cell r="I29" t="str">
            <v>张学超</v>
          </cell>
          <cell r="J29" t="str">
            <v>B</v>
          </cell>
          <cell r="K29" t="str">
            <v>B</v>
          </cell>
          <cell r="L29" t="str">
            <v>B+</v>
          </cell>
          <cell r="M29" t="str">
            <v>符合</v>
          </cell>
          <cell r="N29" t="str">
            <v>5-1</v>
          </cell>
        </row>
        <row r="30">
          <cell r="B30" t="str">
            <v>杨卓</v>
          </cell>
          <cell r="C30" t="str">
            <v>杨卓</v>
          </cell>
          <cell r="D30" t="str">
            <v>男</v>
          </cell>
          <cell r="E30">
            <v>44641</v>
          </cell>
          <cell r="F30" t="str">
            <v>载荷毫米波部</v>
          </cell>
          <cell r="G30" t="str">
            <v>毫米波制造组</v>
          </cell>
          <cell r="H30" t="str">
            <v>测试开发工程师</v>
          </cell>
          <cell r="I30" t="str">
            <v>张学超</v>
          </cell>
          <cell r="J30" t="str">
            <v>B</v>
          </cell>
          <cell r="K30" t="str">
            <v>B</v>
          </cell>
          <cell r="L30" t="str">
            <v>B</v>
          </cell>
          <cell r="M30" t="str">
            <v>符合</v>
          </cell>
          <cell r="N30" t="str">
            <v>4-2</v>
          </cell>
        </row>
        <row r="31">
          <cell r="B31" t="str">
            <v>许磊</v>
          </cell>
          <cell r="C31" t="str">
            <v>许磊</v>
          </cell>
          <cell r="D31" t="str">
            <v>男</v>
          </cell>
          <cell r="E31">
            <v>45389</v>
          </cell>
          <cell r="F31" t="str">
            <v>载荷毫米波部</v>
          </cell>
          <cell r="G31" t="str">
            <v>毫米波制造组</v>
          </cell>
          <cell r="H31" t="str">
            <v>测试开发工程师</v>
          </cell>
          <cell r="I31" t="str">
            <v>张学超</v>
          </cell>
          <cell r="J31" t="str">
            <v>C</v>
          </cell>
          <cell r="K31" t="str">
            <v>B</v>
          </cell>
          <cell r="L31" t="str">
            <v>A</v>
          </cell>
          <cell r="M31" t="str">
            <v>可跨小档</v>
          </cell>
          <cell r="N31" t="str">
            <v>4-2</v>
          </cell>
        </row>
        <row r="32">
          <cell r="B32" t="str">
            <v>骆亮亮</v>
          </cell>
          <cell r="C32" t="str">
            <v>骆亮亮</v>
          </cell>
          <cell r="D32" t="str">
            <v>男</v>
          </cell>
          <cell r="E32">
            <v>44963</v>
          </cell>
          <cell r="F32" t="str">
            <v>载荷毫米波部</v>
          </cell>
          <cell r="G32" t="str">
            <v>毫米波制造组</v>
          </cell>
          <cell r="H32" t="str">
            <v>测试开发工程师</v>
          </cell>
          <cell r="I32" t="str">
            <v>张学超</v>
          </cell>
          <cell r="J32" t="str">
            <v>B</v>
          </cell>
          <cell r="K32" t="str">
            <v>B</v>
          </cell>
          <cell r="L32" t="str">
            <v>B</v>
          </cell>
          <cell r="M32" t="str">
            <v>符合</v>
          </cell>
          <cell r="N32" t="str">
            <v>4-1</v>
          </cell>
        </row>
        <row r="33">
          <cell r="B33" t="str">
            <v>罗忠</v>
          </cell>
          <cell r="C33" t="str">
            <v>罗忠</v>
          </cell>
          <cell r="D33" t="str">
            <v>男</v>
          </cell>
          <cell r="E33">
            <v>45422</v>
          </cell>
          <cell r="F33" t="str">
            <v>载荷毫米波部</v>
          </cell>
          <cell r="G33" t="str">
            <v>毫米波制造组</v>
          </cell>
          <cell r="H33" t="str">
            <v>测试软件开发工程师</v>
          </cell>
          <cell r="I33" t="str">
            <v>张学超</v>
          </cell>
          <cell r="J33" t="str">
            <v>-</v>
          </cell>
          <cell r="K33" t="str">
            <v>B</v>
          </cell>
          <cell r="L33" t="str">
            <v>B</v>
          </cell>
          <cell r="M33" t="str">
            <v>不符合</v>
          </cell>
          <cell r="N33" t="str">
            <v>3-3</v>
          </cell>
        </row>
        <row r="34">
          <cell r="B34" t="str">
            <v>付超</v>
          </cell>
          <cell r="C34" t="str">
            <v>付超</v>
          </cell>
          <cell r="D34" t="str">
            <v>男</v>
          </cell>
          <cell r="E34">
            <v>45615</v>
          </cell>
          <cell r="F34" t="str">
            <v>载荷毫米波部</v>
          </cell>
          <cell r="G34" t="str">
            <v>毫米波制造组</v>
          </cell>
          <cell r="H34" t="str">
            <v>测试开发工程师</v>
          </cell>
          <cell r="I34" t="str">
            <v>张学超</v>
          </cell>
          <cell r="J34" t="str">
            <v>-</v>
          </cell>
          <cell r="K34" t="str">
            <v>-</v>
          </cell>
          <cell r="L34" t="str">
            <v>B</v>
          </cell>
          <cell r="M34" t="str">
            <v>不符合</v>
          </cell>
          <cell r="N34" t="str">
            <v>3-3</v>
          </cell>
        </row>
        <row r="35">
          <cell r="B35" t="str">
            <v>文敏</v>
          </cell>
          <cell r="C35" t="str">
            <v>文敏</v>
          </cell>
          <cell r="D35" t="str">
            <v>女</v>
          </cell>
          <cell r="E35">
            <v>45768</v>
          </cell>
          <cell r="F35" t="str">
            <v>载荷毫米波部</v>
          </cell>
          <cell r="G35" t="str">
            <v>毫米波制造组</v>
          </cell>
          <cell r="H35" t="str">
            <v>测试开发工程师</v>
          </cell>
          <cell r="I35" t="str">
            <v>张学超</v>
          </cell>
        </row>
        <row r="36">
          <cell r="B36" t="str">
            <v>邓萍菲</v>
          </cell>
          <cell r="C36" t="str">
            <v>邓萍菲</v>
          </cell>
          <cell r="D36" t="str">
            <v>女</v>
          </cell>
          <cell r="E36">
            <v>45824</v>
          </cell>
          <cell r="F36" t="str">
            <v>载荷毫米波部</v>
          </cell>
          <cell r="G36" t="str">
            <v>毫米波制造组</v>
          </cell>
          <cell r="H36" t="str">
            <v>测试开发工程师</v>
          </cell>
          <cell r="I36" t="str">
            <v>张学超</v>
          </cell>
        </row>
        <row r="37">
          <cell r="B37" t="str">
            <v>廖必燚</v>
          </cell>
          <cell r="C37" t="str">
            <v>廖必燚</v>
          </cell>
          <cell r="D37" t="str">
            <v>男</v>
          </cell>
          <cell r="E37">
            <v>45839</v>
          </cell>
          <cell r="F37" t="str">
            <v>载荷毫米波部</v>
          </cell>
          <cell r="G37" t="str">
            <v>毫米波制造组</v>
          </cell>
          <cell r="H37" t="str">
            <v>测试开发工程师</v>
          </cell>
          <cell r="I37" t="str">
            <v>张学超</v>
          </cell>
        </row>
        <row r="38">
          <cell r="B38" t="str">
            <v>牛志国</v>
          </cell>
          <cell r="C38" t="str">
            <v>牛志国</v>
          </cell>
          <cell r="D38" t="str">
            <v>男</v>
          </cell>
          <cell r="E38">
            <v>45754</v>
          </cell>
          <cell r="F38" t="str">
            <v>载荷毫米波部</v>
          </cell>
          <cell r="G38" t="str">
            <v>无源组</v>
          </cell>
          <cell r="H38" t="str">
            <v>无源工程师</v>
          </cell>
          <cell r="I38" t="str">
            <v>epson</v>
          </cell>
          <cell r="J38" t="str">
            <v>-</v>
          </cell>
          <cell r="K38" t="str">
            <v>-</v>
          </cell>
          <cell r="L38" t="str">
            <v>B</v>
          </cell>
        </row>
        <row r="38">
          <cell r="N38" t="e">
            <v>#N/A</v>
          </cell>
        </row>
        <row r="39">
          <cell r="B39" t="str">
            <v>孙守家</v>
          </cell>
          <cell r="C39" t="str">
            <v>孙守家</v>
          </cell>
          <cell r="D39" t="str">
            <v>男</v>
          </cell>
          <cell r="E39">
            <v>44044</v>
          </cell>
          <cell r="F39" t="str">
            <v>载荷毫米波部</v>
          </cell>
          <cell r="G39" t="str">
            <v>无源组</v>
          </cell>
          <cell r="H39" t="str">
            <v>无源工程师</v>
          </cell>
          <cell r="I39" t="str">
            <v>朱正贤</v>
          </cell>
          <cell r="J39" t="str">
            <v>B</v>
          </cell>
          <cell r="K39" t="str">
            <v>A</v>
          </cell>
          <cell r="L39" t="str">
            <v>B</v>
          </cell>
        </row>
        <row r="39">
          <cell r="N39" t="str">
            <v>推荐6级</v>
          </cell>
        </row>
        <row r="40">
          <cell r="B40" t="str">
            <v>张娱东</v>
          </cell>
          <cell r="C40" t="str">
            <v>张娱东</v>
          </cell>
          <cell r="D40" t="str">
            <v>男</v>
          </cell>
          <cell r="E40">
            <v>44249</v>
          </cell>
          <cell r="F40" t="str">
            <v>载荷毫米波部</v>
          </cell>
          <cell r="G40" t="str">
            <v>无源组</v>
          </cell>
          <cell r="H40" t="str">
            <v>无源工程师</v>
          </cell>
          <cell r="I40" t="str">
            <v>epson</v>
          </cell>
          <cell r="J40" t="str">
            <v>B+</v>
          </cell>
          <cell r="K40" t="str">
            <v>B</v>
          </cell>
          <cell r="L40" t="str">
            <v>A</v>
          </cell>
          <cell r="M40" t="str">
            <v>符合</v>
          </cell>
          <cell r="N40" t="str">
            <v>5-1</v>
          </cell>
        </row>
        <row r="41">
          <cell r="B41" t="str">
            <v>贾少泽</v>
          </cell>
          <cell r="C41" t="str">
            <v>贾少泽</v>
          </cell>
          <cell r="D41" t="str">
            <v>男</v>
          </cell>
          <cell r="E41">
            <v>44669</v>
          </cell>
          <cell r="F41" t="str">
            <v>载荷毫米波部</v>
          </cell>
          <cell r="G41" t="str">
            <v>无源组</v>
          </cell>
          <cell r="H41" t="str">
            <v>无源工程师</v>
          </cell>
          <cell r="I41" t="str">
            <v>epson</v>
          </cell>
          <cell r="J41" t="str">
            <v>B+</v>
          </cell>
          <cell r="K41" t="str">
            <v>B</v>
          </cell>
          <cell r="L41" t="str">
            <v>B+</v>
          </cell>
          <cell r="M41" t="str">
            <v>符合</v>
          </cell>
          <cell r="N41" t="str">
            <v>5-1</v>
          </cell>
        </row>
        <row r="42">
          <cell r="B42" t="str">
            <v>塔娜</v>
          </cell>
          <cell r="C42" t="str">
            <v>塔娜</v>
          </cell>
          <cell r="D42" t="str">
            <v>女</v>
          </cell>
          <cell r="E42">
            <v>43983</v>
          </cell>
          <cell r="F42" t="str">
            <v>载荷毫米波部</v>
          </cell>
          <cell r="G42" t="str">
            <v>无源组</v>
          </cell>
          <cell r="H42" t="str">
            <v>无源工程师</v>
          </cell>
          <cell r="I42" t="str">
            <v>epson</v>
          </cell>
          <cell r="J42" t="str">
            <v>B</v>
          </cell>
          <cell r="K42" t="str">
            <v>B</v>
          </cell>
          <cell r="L42" t="str">
            <v>B</v>
          </cell>
          <cell r="M42" t="str">
            <v>不符合</v>
          </cell>
          <cell r="N42" t="str">
            <v>4-3</v>
          </cell>
        </row>
        <row r="43">
          <cell r="B43" t="str">
            <v>唐琦</v>
          </cell>
          <cell r="C43" t="str">
            <v>唐琦</v>
          </cell>
          <cell r="D43" t="str">
            <v>男</v>
          </cell>
          <cell r="E43">
            <v>44790</v>
          </cell>
          <cell r="F43" t="str">
            <v>载荷毫米波部</v>
          </cell>
          <cell r="G43" t="str">
            <v>无源组</v>
          </cell>
          <cell r="H43" t="str">
            <v>无源工程师</v>
          </cell>
          <cell r="I43" t="str">
            <v>epson</v>
          </cell>
          <cell r="J43" t="str">
            <v>B</v>
          </cell>
          <cell r="K43" t="str">
            <v>B</v>
          </cell>
          <cell r="L43" t="str">
            <v>B</v>
          </cell>
          <cell r="M43" t="str">
            <v>不符合</v>
          </cell>
          <cell r="N43" t="str">
            <v>4-3</v>
          </cell>
        </row>
        <row r="44">
          <cell r="B44" t="str">
            <v>王潇宇</v>
          </cell>
          <cell r="C44" t="str">
            <v>王潇宇</v>
          </cell>
          <cell r="D44" t="str">
            <v>男</v>
          </cell>
          <cell r="E44">
            <v>45196</v>
          </cell>
          <cell r="F44" t="str">
            <v>载荷毫米波部</v>
          </cell>
          <cell r="G44" t="str">
            <v>相控阵微系统1组</v>
          </cell>
          <cell r="H44" t="str">
            <v>有源射频工程师</v>
          </cell>
          <cell r="I44" t="str">
            <v>韦仕举</v>
          </cell>
          <cell r="J44" t="str">
            <v>B</v>
          </cell>
          <cell r="K44" t="str">
            <v>B</v>
          </cell>
          <cell r="L44" t="str">
            <v>B+</v>
          </cell>
        </row>
        <row r="44">
          <cell r="N44" t="e">
            <v>#N/A</v>
          </cell>
        </row>
        <row r="45">
          <cell r="B45" t="str">
            <v>陈旭东</v>
          </cell>
          <cell r="C45" t="str">
            <v>陈旭东</v>
          </cell>
          <cell r="D45" t="str">
            <v>男</v>
          </cell>
          <cell r="E45">
            <v>45299</v>
          </cell>
          <cell r="F45" t="str">
            <v>载荷毫米波部</v>
          </cell>
          <cell r="G45" t="str">
            <v>相控阵微系统1组</v>
          </cell>
          <cell r="H45" t="str">
            <v>有源射频工程师</v>
          </cell>
          <cell r="I45" t="str">
            <v>韦仕举</v>
          </cell>
          <cell r="J45" t="str">
            <v>B+</v>
          </cell>
          <cell r="K45" t="str">
            <v>B</v>
          </cell>
          <cell r="L45" t="str">
            <v>B</v>
          </cell>
        </row>
        <row r="45">
          <cell r="N45" t="e">
            <v>#N/A</v>
          </cell>
        </row>
        <row r="46">
          <cell r="B46" t="str">
            <v>万鹏鑫</v>
          </cell>
          <cell r="C46" t="str">
            <v>万鹏鑫</v>
          </cell>
          <cell r="D46" t="str">
            <v>男</v>
          </cell>
          <cell r="E46">
            <v>45439</v>
          </cell>
          <cell r="F46" t="str">
            <v>载荷毫米波部</v>
          </cell>
          <cell r="G46" t="str">
            <v>相控阵微系统1组</v>
          </cell>
          <cell r="H46" t="str">
            <v>产品工程师</v>
          </cell>
          <cell r="I46" t="str">
            <v>韦仕举</v>
          </cell>
          <cell r="J46" t="str">
            <v>-</v>
          </cell>
          <cell r="K46" t="str">
            <v>B</v>
          </cell>
          <cell r="L46" t="str">
            <v>B</v>
          </cell>
        </row>
        <row r="46">
          <cell r="N46" t="e">
            <v>#N/A</v>
          </cell>
        </row>
        <row r="47">
          <cell r="B47" t="str">
            <v>李露</v>
          </cell>
          <cell r="C47" t="str">
            <v>李露</v>
          </cell>
          <cell r="D47" t="str">
            <v>男</v>
          </cell>
          <cell r="E47">
            <v>45719</v>
          </cell>
          <cell r="F47" t="str">
            <v>载荷毫米波部</v>
          </cell>
          <cell r="G47" t="str">
            <v>相控阵微系统1组</v>
          </cell>
          <cell r="H47" t="str">
            <v>平台软件工程师</v>
          </cell>
          <cell r="I47" t="str">
            <v>韦仕举</v>
          </cell>
          <cell r="J47" t="str">
            <v>-</v>
          </cell>
          <cell r="K47" t="str">
            <v>-</v>
          </cell>
          <cell r="L47" t="str">
            <v>B</v>
          </cell>
        </row>
        <row r="47">
          <cell r="N47" t="e">
            <v>#N/A</v>
          </cell>
        </row>
        <row r="48">
          <cell r="B48" t="str">
            <v>安宁</v>
          </cell>
          <cell r="C48" t="str">
            <v>安宁</v>
          </cell>
          <cell r="D48" t="str">
            <v>男</v>
          </cell>
          <cell r="E48">
            <v>45755</v>
          </cell>
          <cell r="F48" t="str">
            <v>载荷毫米波部</v>
          </cell>
          <cell r="G48" t="str">
            <v>相控阵微系统1组</v>
          </cell>
          <cell r="H48" t="str">
            <v>算法与协议软件工程师</v>
          </cell>
          <cell r="I48" t="str">
            <v>韦仕举</v>
          </cell>
          <cell r="J48" t="str">
            <v>-</v>
          </cell>
          <cell r="K48" t="str">
            <v>-</v>
          </cell>
          <cell r="L48" t="str">
            <v>B</v>
          </cell>
        </row>
        <row r="48">
          <cell r="N48" t="e">
            <v>#N/A</v>
          </cell>
        </row>
        <row r="49">
          <cell r="B49" t="str">
            <v>孟彦伯</v>
          </cell>
          <cell r="C49" t="str">
            <v>孟彦伯</v>
          </cell>
          <cell r="D49" t="str">
            <v>男</v>
          </cell>
          <cell r="E49">
            <v>45768</v>
          </cell>
          <cell r="F49" t="str">
            <v>载荷毫米波部</v>
          </cell>
          <cell r="G49" t="str">
            <v>相控阵微系统1组</v>
          </cell>
          <cell r="H49" t="str">
            <v>有源射频工程师</v>
          </cell>
          <cell r="I49" t="str">
            <v>韦仕举</v>
          </cell>
          <cell r="J49" t="str">
            <v>-</v>
          </cell>
          <cell r="K49" t="str">
            <v>-</v>
          </cell>
          <cell r="L49" t="str">
            <v>B</v>
          </cell>
        </row>
        <row r="49">
          <cell r="N49" t="e">
            <v>#N/A</v>
          </cell>
        </row>
        <row r="50">
          <cell r="B50" t="str">
            <v>曾成元</v>
          </cell>
          <cell r="C50" t="str">
            <v>曾成元</v>
          </cell>
          <cell r="D50" t="str">
            <v>男</v>
          </cell>
          <cell r="E50">
            <v>45815</v>
          </cell>
          <cell r="F50" t="str">
            <v>载荷毫米波部</v>
          </cell>
          <cell r="G50" t="str">
            <v>相控阵微系统1组</v>
          </cell>
          <cell r="H50" t="str">
            <v>系统/整机工程师</v>
          </cell>
          <cell r="I50" t="str">
            <v>韦仕举</v>
          </cell>
          <cell r="J50" t="str">
            <v>-</v>
          </cell>
          <cell r="K50" t="str">
            <v>-</v>
          </cell>
          <cell r="L50" t="str">
            <v>-</v>
          </cell>
        </row>
        <row r="50">
          <cell r="N50" t="e">
            <v>#N/A</v>
          </cell>
        </row>
        <row r="51">
          <cell r="B51" t="str">
            <v>万克林</v>
          </cell>
          <cell r="C51" t="str">
            <v>万克林</v>
          </cell>
          <cell r="D51" t="str">
            <v>男</v>
          </cell>
          <cell r="E51">
            <v>45839</v>
          </cell>
          <cell r="F51" t="str">
            <v>载荷毫米波部</v>
          </cell>
          <cell r="G51" t="str">
            <v>相控阵微系统1组</v>
          </cell>
          <cell r="H51" t="str">
            <v>有源射频工程师</v>
          </cell>
          <cell r="I51" t="str">
            <v>韦仕举</v>
          </cell>
          <cell r="J51" t="str">
            <v>-</v>
          </cell>
          <cell r="K51" t="str">
            <v>-</v>
          </cell>
          <cell r="L51" t="str">
            <v>-</v>
          </cell>
        </row>
        <row r="51">
          <cell r="N51" t="e">
            <v>#N/A</v>
          </cell>
        </row>
        <row r="52">
          <cell r="B52" t="str">
            <v>郭宁</v>
          </cell>
          <cell r="C52" t="str">
            <v>郭宁</v>
          </cell>
          <cell r="D52" t="str">
            <v>男</v>
          </cell>
          <cell r="E52">
            <v>45839</v>
          </cell>
          <cell r="F52" t="str">
            <v>载荷毫米波部</v>
          </cell>
          <cell r="G52" t="str">
            <v>相控阵微系统1组</v>
          </cell>
          <cell r="H52" t="str">
            <v>有源射频工程师</v>
          </cell>
          <cell r="I52" t="str">
            <v>韦仕举</v>
          </cell>
          <cell r="J52" t="str">
            <v>-</v>
          </cell>
          <cell r="K52" t="str">
            <v>-</v>
          </cell>
          <cell r="L52" t="str">
            <v>-</v>
          </cell>
        </row>
        <row r="52">
          <cell r="N52" t="e">
            <v>#N/A</v>
          </cell>
        </row>
        <row r="53">
          <cell r="B53" t="str">
            <v>张洪源</v>
          </cell>
          <cell r="C53" t="str">
            <v>张洪源</v>
          </cell>
          <cell r="D53" t="str">
            <v>男</v>
          </cell>
          <cell r="E53">
            <v>45839</v>
          </cell>
          <cell r="F53" t="str">
            <v>载荷毫米波部</v>
          </cell>
          <cell r="G53" t="str">
            <v>相控阵微系统1组</v>
          </cell>
          <cell r="H53" t="str">
            <v>算法与协议软件工程师</v>
          </cell>
          <cell r="I53" t="str">
            <v>韦仕举</v>
          </cell>
          <cell r="J53" t="str">
            <v>-</v>
          </cell>
          <cell r="K53" t="str">
            <v>-</v>
          </cell>
          <cell r="L53" t="str">
            <v>-</v>
          </cell>
        </row>
        <row r="53">
          <cell r="N53" t="e">
            <v>#N/A</v>
          </cell>
        </row>
        <row r="54">
          <cell r="B54" t="str">
            <v>张威峰</v>
          </cell>
          <cell r="C54" t="str">
            <v>张威峰</v>
          </cell>
          <cell r="D54" t="str">
            <v>男</v>
          </cell>
          <cell r="E54">
            <v>45901</v>
          </cell>
          <cell r="F54" t="str">
            <v>载荷毫米波部</v>
          </cell>
          <cell r="G54" t="str">
            <v>相控阵微系统1组</v>
          </cell>
          <cell r="H54" t="str">
            <v>算法与协议软件工程师</v>
          </cell>
          <cell r="I54" t="str">
            <v>韦仕举</v>
          </cell>
          <cell r="J54" t="str">
            <v>-</v>
          </cell>
          <cell r="K54" t="str">
            <v>-</v>
          </cell>
          <cell r="L54" t="str">
            <v>-</v>
          </cell>
        </row>
        <row r="54">
          <cell r="N54" t="e">
            <v>#N/A</v>
          </cell>
        </row>
        <row r="55">
          <cell r="B55" t="str">
            <v>张明涛</v>
          </cell>
          <cell r="C55" t="str">
            <v>张明涛</v>
          </cell>
          <cell r="D55" t="str">
            <v>男</v>
          </cell>
          <cell r="E55">
            <v>44341</v>
          </cell>
          <cell r="F55" t="str">
            <v>载荷毫米波部</v>
          </cell>
          <cell r="G55" t="str">
            <v>相控阵微系统1组</v>
          </cell>
          <cell r="H55" t="str">
            <v>天线工程师</v>
          </cell>
          <cell r="I55" t="str">
            <v>韦仕举</v>
          </cell>
          <cell r="J55" t="str">
            <v>B+</v>
          </cell>
          <cell r="K55" t="str">
            <v>B</v>
          </cell>
          <cell r="L55" t="str">
            <v>B+</v>
          </cell>
        </row>
        <row r="55">
          <cell r="N55" t="str">
            <v>推荐6级</v>
          </cell>
        </row>
        <row r="56">
          <cell r="B56" t="str">
            <v>韦仕举</v>
          </cell>
          <cell r="C56" t="str">
            <v>韦仕举</v>
          </cell>
          <cell r="D56" t="str">
            <v>男</v>
          </cell>
          <cell r="E56">
            <v>43494</v>
          </cell>
          <cell r="F56" t="str">
            <v>载荷毫米波部</v>
          </cell>
          <cell r="G56" t="str">
            <v>相控阵微系统1组</v>
          </cell>
          <cell r="H56" t="str">
            <v>系统/整机工程师</v>
          </cell>
          <cell r="I56" t="str">
            <v>朱正贤</v>
          </cell>
          <cell r="J56" t="str">
            <v>B</v>
          </cell>
          <cell r="K56" t="str">
            <v>B</v>
          </cell>
          <cell r="L56" t="str">
            <v>B</v>
          </cell>
        </row>
        <row r="56">
          <cell r="N56" t="str">
            <v>推荐6级</v>
          </cell>
        </row>
        <row r="57">
          <cell r="B57" t="str">
            <v>刘富强</v>
          </cell>
          <cell r="C57" t="str">
            <v>刘富强</v>
          </cell>
          <cell r="D57" t="str">
            <v>男</v>
          </cell>
          <cell r="E57">
            <v>45175</v>
          </cell>
          <cell r="F57" t="str">
            <v>载荷毫米波部</v>
          </cell>
          <cell r="G57" t="str">
            <v>相控阵微系统1组</v>
          </cell>
          <cell r="H57" t="str">
            <v>系统/整机工程师</v>
          </cell>
          <cell r="I57" t="str">
            <v>韦仕举</v>
          </cell>
          <cell r="J57" t="str">
            <v>A</v>
          </cell>
          <cell r="K57" t="str">
            <v>S</v>
          </cell>
          <cell r="L57" t="str">
            <v>B</v>
          </cell>
        </row>
        <row r="57">
          <cell r="N57" t="str">
            <v>5-3</v>
          </cell>
        </row>
        <row r="58">
          <cell r="B58" t="str">
            <v>武文</v>
          </cell>
          <cell r="C58" t="str">
            <v>武文</v>
          </cell>
          <cell r="D58" t="str">
            <v>男</v>
          </cell>
          <cell r="E58">
            <v>45385</v>
          </cell>
          <cell r="F58" t="str">
            <v>载荷毫米波部</v>
          </cell>
          <cell r="G58" t="str">
            <v>相控阵微系统1组</v>
          </cell>
          <cell r="H58" t="str">
            <v>系统/整机工程师</v>
          </cell>
          <cell r="I58" t="str">
            <v>韦仕举</v>
          </cell>
          <cell r="J58" t="str">
            <v>B+</v>
          </cell>
          <cell r="K58" t="str">
            <v>A</v>
          </cell>
          <cell r="L58" t="str">
            <v>A</v>
          </cell>
        </row>
        <row r="58">
          <cell r="N58" t="str">
            <v>5-3</v>
          </cell>
        </row>
        <row r="59">
          <cell r="B59" t="str">
            <v>范培鑫</v>
          </cell>
          <cell r="C59" t="str">
            <v>范培鑫</v>
          </cell>
          <cell r="D59" t="str">
            <v>男</v>
          </cell>
          <cell r="E59">
            <v>44718</v>
          </cell>
          <cell r="F59" t="str">
            <v>载荷毫米波部</v>
          </cell>
          <cell r="G59" t="str">
            <v>相控阵微系统1组</v>
          </cell>
          <cell r="H59" t="str">
            <v>有源射频工程师</v>
          </cell>
          <cell r="I59" t="str">
            <v>韦仕举</v>
          </cell>
          <cell r="J59" t="str">
            <v>B+</v>
          </cell>
          <cell r="K59" t="str">
            <v>B</v>
          </cell>
          <cell r="L59" t="str">
            <v>B</v>
          </cell>
          <cell r="M59" t="str">
            <v>不符合</v>
          </cell>
          <cell r="N59" t="str">
            <v>5-2</v>
          </cell>
        </row>
        <row r="60">
          <cell r="B60" t="str">
            <v>苏秀妮</v>
          </cell>
          <cell r="C60" t="str">
            <v>苏秀妮</v>
          </cell>
          <cell r="D60" t="str">
            <v>女</v>
          </cell>
          <cell r="E60">
            <v>44287</v>
          </cell>
          <cell r="F60" t="str">
            <v>载荷毫米波部</v>
          </cell>
          <cell r="G60" t="str">
            <v>相控阵微系统1组</v>
          </cell>
          <cell r="H60" t="str">
            <v>算法与协议软件工程师</v>
          </cell>
          <cell r="I60" t="str">
            <v>韦仕举</v>
          </cell>
          <cell r="J60" t="str">
            <v>B+</v>
          </cell>
          <cell r="K60" t="str">
            <v>B</v>
          </cell>
          <cell r="L60" t="str">
            <v>B</v>
          </cell>
          <cell r="M60" t="str">
            <v>符合</v>
          </cell>
          <cell r="N60" t="str">
            <v>5-1</v>
          </cell>
        </row>
        <row r="61">
          <cell r="B61" t="str">
            <v>李小菲</v>
          </cell>
          <cell r="C61" t="str">
            <v>李小菲</v>
          </cell>
          <cell r="D61" t="str">
            <v>女</v>
          </cell>
          <cell r="E61">
            <v>44627</v>
          </cell>
          <cell r="F61" t="str">
            <v>载荷毫米波部</v>
          </cell>
          <cell r="G61" t="str">
            <v>相控阵微系统1组</v>
          </cell>
          <cell r="H61" t="str">
            <v>平台硬件工程师</v>
          </cell>
          <cell r="I61" t="str">
            <v>韦仕举</v>
          </cell>
          <cell r="J61" t="str">
            <v>B</v>
          </cell>
          <cell r="K61" t="str">
            <v>B</v>
          </cell>
          <cell r="L61" t="str">
            <v>B</v>
          </cell>
          <cell r="M61" t="str">
            <v>符合</v>
          </cell>
          <cell r="N61" t="str">
            <v>5-1</v>
          </cell>
        </row>
        <row r="62">
          <cell r="B62" t="str">
            <v>薛瑞豪</v>
          </cell>
          <cell r="C62" t="str">
            <v>薛瑞豪</v>
          </cell>
          <cell r="D62" t="str">
            <v>男</v>
          </cell>
          <cell r="E62">
            <v>44887</v>
          </cell>
          <cell r="F62" t="str">
            <v>载荷毫米波部</v>
          </cell>
          <cell r="G62" t="str">
            <v>相控阵微系统1组</v>
          </cell>
          <cell r="H62" t="str">
            <v>有源射频工程师</v>
          </cell>
          <cell r="I62" t="str">
            <v>韦仕举</v>
          </cell>
          <cell r="J62" t="str">
            <v>B+</v>
          </cell>
          <cell r="K62" t="str">
            <v>B</v>
          </cell>
          <cell r="L62" t="str">
            <v>B+</v>
          </cell>
          <cell r="M62" t="str">
            <v>符合</v>
          </cell>
          <cell r="N62" t="str">
            <v>5-1</v>
          </cell>
        </row>
        <row r="63">
          <cell r="B63" t="str">
            <v>侯丽华</v>
          </cell>
          <cell r="C63" t="str">
            <v>侯丽华</v>
          </cell>
          <cell r="D63" t="str">
            <v>女</v>
          </cell>
          <cell r="E63">
            <v>44956</v>
          </cell>
          <cell r="F63" t="str">
            <v>载荷毫米波部</v>
          </cell>
          <cell r="G63" t="str">
            <v>相控阵微系统1组</v>
          </cell>
          <cell r="H63" t="str">
            <v>有源射频工程师</v>
          </cell>
          <cell r="I63" t="str">
            <v>韦仕举</v>
          </cell>
          <cell r="J63" t="str">
            <v>B</v>
          </cell>
          <cell r="K63" t="str">
            <v>B</v>
          </cell>
          <cell r="L63" t="str">
            <v>B</v>
          </cell>
          <cell r="M63" t="str">
            <v>符合</v>
          </cell>
          <cell r="N63" t="str">
            <v>5-1</v>
          </cell>
        </row>
        <row r="64">
          <cell r="B64" t="str">
            <v>马鸿斌</v>
          </cell>
          <cell r="C64" t="str">
            <v>马鸿斌</v>
          </cell>
          <cell r="D64" t="str">
            <v>男</v>
          </cell>
          <cell r="E64">
            <v>44971</v>
          </cell>
          <cell r="F64" t="str">
            <v>载荷毫米波部</v>
          </cell>
          <cell r="G64" t="str">
            <v>相控阵微系统1组</v>
          </cell>
          <cell r="H64" t="str">
            <v>平台硬件工程师</v>
          </cell>
          <cell r="I64" t="str">
            <v>韦仕举</v>
          </cell>
          <cell r="J64" t="str">
            <v>B</v>
          </cell>
          <cell r="K64" t="str">
            <v>B</v>
          </cell>
          <cell r="L64" t="str">
            <v>B</v>
          </cell>
          <cell r="M64" t="str">
            <v>符合</v>
          </cell>
          <cell r="N64" t="str">
            <v>5-1</v>
          </cell>
        </row>
        <row r="65">
          <cell r="B65" t="str">
            <v>许勋</v>
          </cell>
          <cell r="C65" t="str">
            <v>许勋</v>
          </cell>
          <cell r="D65" t="str">
            <v>男</v>
          </cell>
          <cell r="E65">
            <v>44774</v>
          </cell>
          <cell r="F65" t="str">
            <v>载荷毫米波部</v>
          </cell>
          <cell r="G65" t="str">
            <v>相控阵微系统1组</v>
          </cell>
          <cell r="H65" t="str">
            <v>平台软件工程师</v>
          </cell>
          <cell r="I65" t="str">
            <v>韦仕举</v>
          </cell>
          <cell r="J65" t="str">
            <v>B</v>
          </cell>
          <cell r="K65" t="str">
            <v>B</v>
          </cell>
          <cell r="L65" t="str">
            <v>C</v>
          </cell>
          <cell r="M65" t="str">
            <v>不符合</v>
          </cell>
          <cell r="N65" t="str">
            <v>4-3</v>
          </cell>
        </row>
        <row r="66">
          <cell r="B66" t="str">
            <v>陈胜</v>
          </cell>
          <cell r="C66" t="str">
            <v>陈胜</v>
          </cell>
          <cell r="D66" t="str">
            <v>男</v>
          </cell>
          <cell r="E66">
            <v>44775</v>
          </cell>
          <cell r="F66" t="str">
            <v>载荷毫米波部</v>
          </cell>
          <cell r="G66" t="str">
            <v>相控阵微系统1组</v>
          </cell>
          <cell r="H66" t="str">
            <v>系统/整机工程师</v>
          </cell>
          <cell r="I66" t="str">
            <v>韦仕举</v>
          </cell>
          <cell r="J66" t="str">
            <v>B</v>
          </cell>
          <cell r="K66" t="str">
            <v>B</v>
          </cell>
          <cell r="L66" t="str">
            <v>B</v>
          </cell>
          <cell r="M66" t="str">
            <v>不符合</v>
          </cell>
          <cell r="N66" t="str">
            <v>4-3</v>
          </cell>
        </row>
        <row r="67">
          <cell r="B67" t="str">
            <v>徐亮</v>
          </cell>
          <cell r="C67" t="str">
            <v>徐亮</v>
          </cell>
          <cell r="D67" t="str">
            <v>男</v>
          </cell>
          <cell r="E67">
            <v>45043</v>
          </cell>
          <cell r="F67" t="str">
            <v>载荷毫米波部</v>
          </cell>
          <cell r="G67" t="str">
            <v>相控阵微系统1组</v>
          </cell>
          <cell r="H67" t="str">
            <v>算法与协议软件工程师</v>
          </cell>
          <cell r="I67" t="str">
            <v>韦仕举</v>
          </cell>
          <cell r="J67" t="str">
            <v>B</v>
          </cell>
          <cell r="K67" t="str">
            <v>B</v>
          </cell>
          <cell r="L67" t="str">
            <v>B</v>
          </cell>
          <cell r="M67" t="str">
            <v>不符合</v>
          </cell>
          <cell r="N67" t="str">
            <v>4-3</v>
          </cell>
        </row>
        <row r="68">
          <cell r="B68" t="str">
            <v>李刚</v>
          </cell>
          <cell r="C68" t="str">
            <v>李刚</v>
          </cell>
          <cell r="D68" t="str">
            <v>男</v>
          </cell>
          <cell r="E68">
            <v>45467</v>
          </cell>
          <cell r="F68" t="str">
            <v>载荷毫米波部</v>
          </cell>
          <cell r="G68" t="str">
            <v>相控阵微系统1组</v>
          </cell>
          <cell r="H68" t="str">
            <v>有源射频工程师</v>
          </cell>
          <cell r="I68" t="str">
            <v>韦仕举</v>
          </cell>
          <cell r="J68" t="str">
            <v>-</v>
          </cell>
          <cell r="K68" t="str">
            <v>B</v>
          </cell>
          <cell r="L68" t="str">
            <v>B</v>
          </cell>
          <cell r="M68" t="str">
            <v>不符合</v>
          </cell>
          <cell r="N68" t="str">
            <v>4-3</v>
          </cell>
        </row>
        <row r="69">
          <cell r="B69" t="str">
            <v>马文君</v>
          </cell>
          <cell r="C69" t="str">
            <v>马文君</v>
          </cell>
          <cell r="D69" t="str">
            <v>女</v>
          </cell>
          <cell r="E69">
            <v>43557</v>
          </cell>
          <cell r="F69" t="str">
            <v>载荷毫米波部</v>
          </cell>
          <cell r="G69" t="str">
            <v>相控阵微系统1组</v>
          </cell>
          <cell r="H69" t="str">
            <v>有源射频工程师</v>
          </cell>
          <cell r="I69" t="str">
            <v>韦仕举</v>
          </cell>
          <cell r="J69" t="str">
            <v>C</v>
          </cell>
          <cell r="K69" t="str">
            <v>C</v>
          </cell>
          <cell r="L69" t="str">
            <v>B</v>
          </cell>
          <cell r="M69" t="str">
            <v>不符合</v>
          </cell>
          <cell r="N69" t="str">
            <v>4-1</v>
          </cell>
        </row>
        <row r="70">
          <cell r="B70" t="str">
            <v>尹涛</v>
          </cell>
          <cell r="C70" t="str">
            <v>尹涛</v>
          </cell>
          <cell r="D70" t="str">
            <v>男</v>
          </cell>
          <cell r="E70">
            <v>45474</v>
          </cell>
          <cell r="F70" t="str">
            <v>载荷毫米波部</v>
          </cell>
          <cell r="G70" t="str">
            <v>相控阵微系统1组</v>
          </cell>
          <cell r="H70" t="str">
            <v>天线工程师</v>
          </cell>
          <cell r="I70" t="str">
            <v>韦仕举</v>
          </cell>
          <cell r="J70" t="str">
            <v>-</v>
          </cell>
          <cell r="K70" t="str">
            <v>B</v>
          </cell>
          <cell r="L70" t="str">
            <v>B+</v>
          </cell>
          <cell r="M70" t="str">
            <v>符合</v>
          </cell>
          <cell r="N70" t="str">
            <v>4-1</v>
          </cell>
        </row>
        <row r="71">
          <cell r="B71" t="str">
            <v>马铭旭</v>
          </cell>
          <cell r="C71" t="str">
            <v>马铭旭</v>
          </cell>
          <cell r="D71" t="str">
            <v>男</v>
          </cell>
          <cell r="E71">
            <v>45112</v>
          </cell>
          <cell r="F71" t="str">
            <v>载荷毫米波部</v>
          </cell>
          <cell r="G71" t="str">
            <v>相控阵微系统1组</v>
          </cell>
          <cell r="H71" t="str">
            <v>天线工程师</v>
          </cell>
          <cell r="I71" t="str">
            <v>韦仕举</v>
          </cell>
          <cell r="J71" t="str">
            <v>B</v>
          </cell>
          <cell r="K71" t="str">
            <v>B</v>
          </cell>
          <cell r="L71" t="str">
            <v>B</v>
          </cell>
          <cell r="M71" t="str">
            <v>符合</v>
          </cell>
          <cell r="N71" t="str">
            <v>3-2</v>
          </cell>
        </row>
        <row r="72">
          <cell r="B72" t="str">
            <v>王俊杰</v>
          </cell>
          <cell r="C72" t="str">
            <v>王俊杰</v>
          </cell>
          <cell r="D72" t="str">
            <v>男</v>
          </cell>
          <cell r="E72">
            <v>45474</v>
          </cell>
          <cell r="F72" t="str">
            <v>载荷毫米波部</v>
          </cell>
          <cell r="G72" t="str">
            <v>相控阵微系统1组</v>
          </cell>
          <cell r="H72" t="str">
            <v>有源射频工程师</v>
          </cell>
          <cell r="I72" t="str">
            <v>韦仕举</v>
          </cell>
          <cell r="J72" t="str">
            <v>-</v>
          </cell>
          <cell r="K72" t="str">
            <v>B</v>
          </cell>
          <cell r="L72" t="str">
            <v>B</v>
          </cell>
          <cell r="M72" t="str">
            <v>符合</v>
          </cell>
          <cell r="N72" t="str">
            <v>3-2</v>
          </cell>
        </row>
        <row r="73">
          <cell r="B73" t="str">
            <v>李旭东</v>
          </cell>
          <cell r="C73" t="str">
            <v>李旭东</v>
          </cell>
          <cell r="D73" t="str">
            <v>男</v>
          </cell>
          <cell r="E73">
            <v>45474</v>
          </cell>
          <cell r="F73" t="str">
            <v>载荷毫米波部</v>
          </cell>
          <cell r="G73" t="str">
            <v>相控阵微系统1组</v>
          </cell>
          <cell r="H73" t="str">
            <v>有源射频工程师</v>
          </cell>
          <cell r="I73" t="str">
            <v>韦仕举</v>
          </cell>
          <cell r="J73" t="str">
            <v>-</v>
          </cell>
          <cell r="K73" t="str">
            <v>B</v>
          </cell>
          <cell r="L73" t="str">
            <v>B+</v>
          </cell>
          <cell r="M73" t="str">
            <v>符合</v>
          </cell>
          <cell r="N73" t="str">
            <v>3-2</v>
          </cell>
        </row>
        <row r="74">
          <cell r="B74" t="str">
            <v>张克通</v>
          </cell>
          <cell r="C74" t="str">
            <v>张克通</v>
          </cell>
          <cell r="D74" t="str">
            <v>男</v>
          </cell>
          <cell r="E74">
            <v>45537</v>
          </cell>
          <cell r="F74" t="str">
            <v>载荷毫米波部</v>
          </cell>
          <cell r="G74" t="str">
            <v>相控阵微系统1组</v>
          </cell>
          <cell r="H74" t="str">
            <v>算法与协议软件工程师</v>
          </cell>
          <cell r="I74" t="str">
            <v>韦仕举</v>
          </cell>
          <cell r="J74" t="str">
            <v>-</v>
          </cell>
          <cell r="K74" t="str">
            <v>B</v>
          </cell>
          <cell r="L74" t="str">
            <v>B-</v>
          </cell>
          <cell r="M74" t="str">
            <v>不符合</v>
          </cell>
          <cell r="N74" t="str">
            <v>3-2</v>
          </cell>
        </row>
        <row r="75">
          <cell r="B75" t="str">
            <v>黎祝伸</v>
          </cell>
          <cell r="C75" t="str">
            <v>黎祝伸</v>
          </cell>
          <cell r="D75" t="str">
            <v>男</v>
          </cell>
          <cell r="E75">
            <v>45474</v>
          </cell>
          <cell r="F75" t="str">
            <v>载荷毫米波部</v>
          </cell>
          <cell r="G75" t="str">
            <v>相控阵微系统1组</v>
          </cell>
          <cell r="H75" t="str">
            <v>天线工程师</v>
          </cell>
          <cell r="I75" t="str">
            <v>韦仕举</v>
          </cell>
          <cell r="J75" t="str">
            <v>-</v>
          </cell>
          <cell r="K75" t="str">
            <v>B</v>
          </cell>
          <cell r="L75" t="str">
            <v>B</v>
          </cell>
          <cell r="M75" t="str">
            <v>符合</v>
          </cell>
          <cell r="N75" t="str">
            <v>3-1</v>
          </cell>
        </row>
        <row r="76">
          <cell r="B76" t="str">
            <v>许龙</v>
          </cell>
          <cell r="C76" t="str">
            <v>许龙</v>
          </cell>
          <cell r="D76" t="str">
            <v>男</v>
          </cell>
          <cell r="E76">
            <v>45729</v>
          </cell>
          <cell r="F76" t="str">
            <v>载荷毫米波部</v>
          </cell>
          <cell r="G76" t="str">
            <v>相控阵微系统2组</v>
          </cell>
          <cell r="H76" t="str">
            <v>有源射频工程师</v>
          </cell>
          <cell r="I76" t="str">
            <v>王毅</v>
          </cell>
          <cell r="J76" t="str">
            <v>-</v>
          </cell>
          <cell r="K76" t="str">
            <v>-</v>
          </cell>
          <cell r="L76" t="str">
            <v>B</v>
          </cell>
        </row>
        <row r="76">
          <cell r="N76" t="e">
            <v>#N/A</v>
          </cell>
        </row>
        <row r="77">
          <cell r="B77" t="str">
            <v>唐宇潇</v>
          </cell>
          <cell r="C77" t="str">
            <v>唐宇潇</v>
          </cell>
          <cell r="D77" t="str">
            <v>男</v>
          </cell>
          <cell r="E77">
            <v>45805</v>
          </cell>
          <cell r="F77" t="str">
            <v>载荷毫米波部</v>
          </cell>
          <cell r="G77" t="str">
            <v>相控阵微系统2组</v>
          </cell>
          <cell r="H77" t="str">
            <v>系统/整机工程师</v>
          </cell>
          <cell r="I77" t="str">
            <v>王毅</v>
          </cell>
          <cell r="J77" t="str">
            <v>-</v>
          </cell>
          <cell r="K77" t="str">
            <v>-</v>
          </cell>
          <cell r="L77" t="str">
            <v>-</v>
          </cell>
        </row>
        <row r="77">
          <cell r="N77" t="e">
            <v>#N/A</v>
          </cell>
        </row>
        <row r="78">
          <cell r="B78" t="str">
            <v>陈也</v>
          </cell>
          <cell r="C78" t="str">
            <v>陈也</v>
          </cell>
          <cell r="D78" t="str">
            <v>男</v>
          </cell>
          <cell r="E78">
            <v>45839</v>
          </cell>
          <cell r="F78" t="str">
            <v>载荷毫米波部</v>
          </cell>
          <cell r="G78" t="str">
            <v>相控阵微系统2组</v>
          </cell>
          <cell r="H78" t="str">
            <v>有源射频工程师</v>
          </cell>
          <cell r="I78" t="str">
            <v>王毅</v>
          </cell>
          <cell r="J78" t="str">
            <v>-</v>
          </cell>
          <cell r="K78" t="str">
            <v>-</v>
          </cell>
          <cell r="L78" t="str">
            <v>-</v>
          </cell>
        </row>
        <row r="78">
          <cell r="N78" t="e">
            <v>#N/A</v>
          </cell>
        </row>
        <row r="79">
          <cell r="B79" t="str">
            <v>王毅</v>
          </cell>
          <cell r="C79" t="str">
            <v>王毅</v>
          </cell>
          <cell r="D79" t="str">
            <v>男</v>
          </cell>
          <cell r="E79">
            <v>43641</v>
          </cell>
          <cell r="F79" t="str">
            <v>载荷毫米波部</v>
          </cell>
          <cell r="G79" t="str">
            <v>相控阵微系统2组</v>
          </cell>
          <cell r="H79" t="str">
            <v>系统/整机工程师</v>
          </cell>
          <cell r="I79" t="str">
            <v>朱正贤</v>
          </cell>
          <cell r="J79" t="str">
            <v>B</v>
          </cell>
          <cell r="K79" t="str">
            <v>B</v>
          </cell>
          <cell r="L79" t="str">
            <v>B</v>
          </cell>
        </row>
        <row r="79">
          <cell r="N79" t="str">
            <v>推荐6级</v>
          </cell>
        </row>
        <row r="80">
          <cell r="B80" t="str">
            <v>喻袁洲</v>
          </cell>
          <cell r="C80" t="str">
            <v>喻袁洲</v>
          </cell>
          <cell r="D80" t="str">
            <v>男</v>
          </cell>
          <cell r="E80">
            <v>45071</v>
          </cell>
          <cell r="F80" t="str">
            <v>载荷毫米波部</v>
          </cell>
          <cell r="G80" t="str">
            <v>相控阵微系统2组</v>
          </cell>
          <cell r="H80" t="str">
            <v>算法与协议软件工程师</v>
          </cell>
          <cell r="I80" t="str">
            <v>王毅</v>
          </cell>
          <cell r="J80" t="str">
            <v>B</v>
          </cell>
          <cell r="K80" t="str">
            <v>B</v>
          </cell>
          <cell r="L80" t="str">
            <v>B</v>
          </cell>
          <cell r="M80" t="str">
            <v>不符合</v>
          </cell>
          <cell r="N80" t="str">
            <v>5-2</v>
          </cell>
        </row>
        <row r="81">
          <cell r="B81" t="str">
            <v>贾海龙</v>
          </cell>
          <cell r="C81" t="str">
            <v>贾海龙</v>
          </cell>
          <cell r="D81" t="str">
            <v>男</v>
          </cell>
          <cell r="E81">
            <v>45329</v>
          </cell>
          <cell r="F81" t="str">
            <v>载荷毫米波部</v>
          </cell>
          <cell r="G81" t="str">
            <v>相控阵微系统2组</v>
          </cell>
          <cell r="H81" t="str">
            <v>系统/整机工程师</v>
          </cell>
          <cell r="I81" t="str">
            <v>王毅</v>
          </cell>
          <cell r="J81" t="str">
            <v>B</v>
          </cell>
          <cell r="K81" t="str">
            <v>B</v>
          </cell>
          <cell r="L81" t="str">
            <v>B</v>
          </cell>
          <cell r="M81" t="str">
            <v>不符合</v>
          </cell>
          <cell r="N81" t="str">
            <v>5-2</v>
          </cell>
        </row>
        <row r="82">
          <cell r="B82" t="str">
            <v>陈涛</v>
          </cell>
          <cell r="C82" t="str">
            <v>陈涛</v>
          </cell>
          <cell r="D82" t="str">
            <v>男</v>
          </cell>
          <cell r="E82">
            <v>45394</v>
          </cell>
          <cell r="F82" t="str">
            <v>载荷毫米波部</v>
          </cell>
          <cell r="G82" t="str">
            <v>相控阵微系统2组</v>
          </cell>
          <cell r="H82" t="str">
            <v>系统/整机工程师</v>
          </cell>
          <cell r="I82" t="str">
            <v>王毅</v>
          </cell>
          <cell r="J82" t="str">
            <v>B</v>
          </cell>
          <cell r="K82" t="str">
            <v>B</v>
          </cell>
          <cell r="L82" t="str">
            <v>A</v>
          </cell>
          <cell r="M82" t="str">
            <v>符合</v>
          </cell>
          <cell r="N82" t="str">
            <v>5-3</v>
          </cell>
        </row>
        <row r="83">
          <cell r="B83" t="str">
            <v>童超</v>
          </cell>
          <cell r="C83" t="str">
            <v>童超</v>
          </cell>
          <cell r="D83" t="str">
            <v>男</v>
          </cell>
          <cell r="E83">
            <v>44575</v>
          </cell>
          <cell r="F83" t="str">
            <v>载荷毫米波部</v>
          </cell>
          <cell r="G83" t="str">
            <v>相控阵微系统2组</v>
          </cell>
          <cell r="H83" t="str">
            <v>系统/整机工程师</v>
          </cell>
          <cell r="I83" t="str">
            <v>王毅</v>
          </cell>
          <cell r="J83" t="str">
            <v>B</v>
          </cell>
          <cell r="K83" t="str">
            <v>B</v>
          </cell>
          <cell r="L83" t="str">
            <v>B</v>
          </cell>
          <cell r="M83" t="str">
            <v>符合</v>
          </cell>
          <cell r="N83" t="str">
            <v>5-1</v>
          </cell>
        </row>
        <row r="84">
          <cell r="B84" t="str">
            <v>吴永青</v>
          </cell>
          <cell r="C84" t="str">
            <v>吴永青</v>
          </cell>
          <cell r="D84" t="str">
            <v>男</v>
          </cell>
          <cell r="E84">
            <v>44602</v>
          </cell>
          <cell r="F84" t="str">
            <v>载荷毫米波部</v>
          </cell>
          <cell r="G84" t="str">
            <v>相控阵微系统2组</v>
          </cell>
          <cell r="H84" t="str">
            <v>天线工程师</v>
          </cell>
          <cell r="I84" t="str">
            <v>王毅</v>
          </cell>
          <cell r="J84" t="str">
            <v>C</v>
          </cell>
          <cell r="K84" t="str">
            <v>B</v>
          </cell>
          <cell r="L84" t="str">
            <v>B</v>
          </cell>
          <cell r="M84" t="str">
            <v>符合</v>
          </cell>
          <cell r="N84" t="str">
            <v>5-1</v>
          </cell>
        </row>
        <row r="85">
          <cell r="B85" t="str">
            <v>邓道聃</v>
          </cell>
          <cell r="C85" t="str">
            <v>邓道聃</v>
          </cell>
          <cell r="D85" t="str">
            <v>男</v>
          </cell>
          <cell r="E85">
            <v>44606</v>
          </cell>
          <cell r="F85" t="str">
            <v>载荷毫米波部</v>
          </cell>
          <cell r="G85" t="str">
            <v>相控阵微系统2组</v>
          </cell>
          <cell r="H85" t="str">
            <v>有源射频工程师</v>
          </cell>
          <cell r="I85" t="str">
            <v>王毅</v>
          </cell>
          <cell r="J85" t="str">
            <v>A</v>
          </cell>
          <cell r="K85" t="str">
            <v>A</v>
          </cell>
          <cell r="L85" t="str">
            <v>B+</v>
          </cell>
          <cell r="M85" t="str">
            <v>符合</v>
          </cell>
          <cell r="N85" t="str">
            <v>5-1</v>
          </cell>
        </row>
        <row r="86">
          <cell r="B86" t="str">
            <v>黄科</v>
          </cell>
          <cell r="C86" t="str">
            <v>黄科</v>
          </cell>
          <cell r="D86" t="str">
            <v>男</v>
          </cell>
          <cell r="E86">
            <v>44631</v>
          </cell>
          <cell r="F86" t="str">
            <v>载荷毫米波部</v>
          </cell>
          <cell r="G86" t="str">
            <v>相控阵微系统2组</v>
          </cell>
          <cell r="H86" t="str">
            <v>有源射频工程师</v>
          </cell>
          <cell r="I86" t="str">
            <v>王毅</v>
          </cell>
          <cell r="J86" t="str">
            <v>B+</v>
          </cell>
          <cell r="K86" t="str">
            <v>A</v>
          </cell>
          <cell r="L86" t="str">
            <v>B</v>
          </cell>
          <cell r="M86" t="str">
            <v>符合</v>
          </cell>
          <cell r="N86" t="str">
            <v>5-1</v>
          </cell>
        </row>
        <row r="87">
          <cell r="B87" t="str">
            <v>赵平</v>
          </cell>
          <cell r="C87" t="str">
            <v>赵平</v>
          </cell>
          <cell r="D87" t="str">
            <v>男</v>
          </cell>
          <cell r="E87">
            <v>45392</v>
          </cell>
          <cell r="F87" t="str">
            <v>载荷毫米波部</v>
          </cell>
          <cell r="G87" t="str">
            <v>相控阵微系统2组</v>
          </cell>
          <cell r="H87" t="str">
            <v>结构工程师</v>
          </cell>
          <cell r="I87" t="str">
            <v>王毅</v>
          </cell>
          <cell r="J87" t="str">
            <v>B</v>
          </cell>
          <cell r="K87" t="str">
            <v>B</v>
          </cell>
          <cell r="L87" t="str">
            <v>B</v>
          </cell>
          <cell r="M87" t="str">
            <v>不符合</v>
          </cell>
          <cell r="N87" t="str">
            <v>4-3</v>
          </cell>
        </row>
        <row r="88">
          <cell r="B88" t="str">
            <v>王漕</v>
          </cell>
          <cell r="C88" t="str">
            <v>王漕</v>
          </cell>
          <cell r="D88" t="str">
            <v>男</v>
          </cell>
          <cell r="E88">
            <v>44740</v>
          </cell>
          <cell r="F88" t="str">
            <v>载荷毫米波部</v>
          </cell>
          <cell r="G88" t="str">
            <v>相控阵微系统2组</v>
          </cell>
          <cell r="H88" t="str">
            <v>有源射频工程师</v>
          </cell>
          <cell r="I88" t="str">
            <v>王毅</v>
          </cell>
          <cell r="J88" t="str">
            <v>B</v>
          </cell>
          <cell r="K88" t="str">
            <v>B</v>
          </cell>
          <cell r="L88" t="str">
            <v>B-</v>
          </cell>
          <cell r="M88" t="str">
            <v>不符合</v>
          </cell>
          <cell r="N88" t="str">
            <v>4-1</v>
          </cell>
        </row>
        <row r="89">
          <cell r="B89" t="str">
            <v>陈艺</v>
          </cell>
          <cell r="C89" t="str">
            <v>陈艺</v>
          </cell>
          <cell r="D89" t="str">
            <v>男</v>
          </cell>
          <cell r="E89">
            <v>45026</v>
          </cell>
          <cell r="F89" t="str">
            <v>载荷毫米波部</v>
          </cell>
          <cell r="G89" t="str">
            <v>相控阵微系统2组</v>
          </cell>
          <cell r="H89" t="str">
            <v>算法与协议软件工程师</v>
          </cell>
          <cell r="I89" t="str">
            <v>王毅</v>
          </cell>
          <cell r="J89" t="str">
            <v>B</v>
          </cell>
          <cell r="K89" t="str">
            <v>B</v>
          </cell>
          <cell r="L89" t="str">
            <v>B+</v>
          </cell>
          <cell r="M89" t="str">
            <v>符合</v>
          </cell>
          <cell r="N89" t="str">
            <v>4-1</v>
          </cell>
        </row>
        <row r="90">
          <cell r="B90" t="str">
            <v>孔令文</v>
          </cell>
          <cell r="C90" t="str">
            <v>孔令文</v>
          </cell>
          <cell r="D90" t="str">
            <v>女</v>
          </cell>
          <cell r="E90">
            <v>45477</v>
          </cell>
          <cell r="F90" t="str">
            <v>载荷毫米波部</v>
          </cell>
          <cell r="G90" t="str">
            <v>相控阵微系统2组</v>
          </cell>
          <cell r="H90" t="str">
            <v>天线工程师</v>
          </cell>
          <cell r="I90" t="str">
            <v>王毅</v>
          </cell>
          <cell r="J90" t="str">
            <v>-</v>
          </cell>
          <cell r="K90" t="str">
            <v>B</v>
          </cell>
          <cell r="L90" t="str">
            <v>B</v>
          </cell>
          <cell r="M90" t="str">
            <v>符合</v>
          </cell>
          <cell r="N90" t="str">
            <v>4-1</v>
          </cell>
        </row>
        <row r="91">
          <cell r="B91" t="str">
            <v>练思捷</v>
          </cell>
          <cell r="C91" t="str">
            <v>练思捷</v>
          </cell>
          <cell r="D91" t="str">
            <v>男</v>
          </cell>
          <cell r="E91">
            <v>45474</v>
          </cell>
          <cell r="F91" t="str">
            <v>载荷毫米波部</v>
          </cell>
          <cell r="G91" t="str">
            <v>相控阵微系统2组</v>
          </cell>
          <cell r="H91" t="str">
            <v>有源射频工程师</v>
          </cell>
          <cell r="I91" t="str">
            <v>王毅</v>
          </cell>
          <cell r="J91" t="str">
            <v>-</v>
          </cell>
          <cell r="K91" t="str">
            <v>B</v>
          </cell>
          <cell r="L91" t="str">
            <v>B+</v>
          </cell>
          <cell r="M91" t="str">
            <v>符合</v>
          </cell>
          <cell r="N91" t="str">
            <v>3-1</v>
          </cell>
        </row>
        <row r="92">
          <cell r="B92" t="str">
            <v>彭鑫</v>
          </cell>
          <cell r="C92" t="str">
            <v>彭鑫</v>
          </cell>
          <cell r="D92" t="str">
            <v>男</v>
          </cell>
          <cell r="E92">
            <v>45839</v>
          </cell>
          <cell r="F92" t="str">
            <v>载荷毫米波部</v>
          </cell>
          <cell r="G92" t="str">
            <v>芯片集成组</v>
          </cell>
          <cell r="H92" t="str">
            <v>芯片工程师</v>
          </cell>
          <cell r="I92" t="str">
            <v>Harvey</v>
          </cell>
          <cell r="J92" t="str">
            <v>-</v>
          </cell>
          <cell r="K92" t="str">
            <v>-</v>
          </cell>
          <cell r="L92" t="str">
            <v>-</v>
          </cell>
        </row>
        <row r="92">
          <cell r="N92" t="e">
            <v>#N/A</v>
          </cell>
        </row>
        <row r="93">
          <cell r="B93" t="str">
            <v>农宝锐</v>
          </cell>
          <cell r="C93" t="str">
            <v>农宝锐</v>
          </cell>
          <cell r="D93" t="str">
            <v>男</v>
          </cell>
          <cell r="E93">
            <v>45904</v>
          </cell>
          <cell r="F93" t="str">
            <v>载荷毫米波部</v>
          </cell>
          <cell r="G93" t="str">
            <v>芯片集成组</v>
          </cell>
          <cell r="H93" t="str">
            <v>芯片工程师</v>
          </cell>
          <cell r="I93" t="str">
            <v>Harvey</v>
          </cell>
          <cell r="J93" t="str">
            <v>-</v>
          </cell>
          <cell r="K93" t="str">
            <v>-</v>
          </cell>
          <cell r="L93" t="str">
            <v>-</v>
          </cell>
        </row>
        <row r="93">
          <cell r="N93" t="e">
            <v>#N/A</v>
          </cell>
        </row>
        <row r="94">
          <cell r="B94" t="str">
            <v>张大为</v>
          </cell>
          <cell r="C94" t="str">
            <v>张大为</v>
          </cell>
          <cell r="D94" t="str">
            <v>男</v>
          </cell>
          <cell r="E94">
            <v>44774</v>
          </cell>
          <cell r="F94" t="str">
            <v>载荷毫米波部</v>
          </cell>
          <cell r="G94" t="str">
            <v>芯片集成组</v>
          </cell>
          <cell r="H94" t="str">
            <v>芯片工程师</v>
          </cell>
          <cell r="I94" t="str">
            <v>朱正贤</v>
          </cell>
          <cell r="J94" t="str">
            <v>B</v>
          </cell>
          <cell r="K94" t="str">
            <v>B</v>
          </cell>
          <cell r="L94" t="str">
            <v>B</v>
          </cell>
        </row>
        <row r="94">
          <cell r="N94" t="str">
            <v>推荐6级</v>
          </cell>
        </row>
        <row r="95">
          <cell r="B95" t="str">
            <v>张艳松</v>
          </cell>
          <cell r="C95" t="str">
            <v>张艳松</v>
          </cell>
          <cell r="D95" t="str">
            <v>男</v>
          </cell>
          <cell r="E95">
            <v>45419</v>
          </cell>
          <cell r="F95" t="str">
            <v>载荷毫米波部</v>
          </cell>
          <cell r="G95" t="str">
            <v>芯片集成组</v>
          </cell>
          <cell r="H95" t="str">
            <v>芯片工程师</v>
          </cell>
          <cell r="I95" t="str">
            <v>张大为</v>
          </cell>
          <cell r="J95" t="str">
            <v>-</v>
          </cell>
          <cell r="K95" t="str">
            <v>B</v>
          </cell>
          <cell r="L95" t="str">
            <v>B+</v>
          </cell>
          <cell r="M95" t="str">
            <v>符合</v>
          </cell>
          <cell r="N95" t="str">
            <v>4-3</v>
          </cell>
        </row>
        <row r="96">
          <cell r="B96" t="str">
            <v>田辉</v>
          </cell>
          <cell r="C96" t="str">
            <v>田辉</v>
          </cell>
          <cell r="D96" t="str">
            <v>男</v>
          </cell>
          <cell r="E96">
            <v>45558</v>
          </cell>
          <cell r="F96" t="str">
            <v>载荷毫米波部</v>
          </cell>
          <cell r="G96" t="str">
            <v>芯片集成组</v>
          </cell>
          <cell r="H96" t="str">
            <v>芯片工程师</v>
          </cell>
          <cell r="I96" t="str">
            <v>张大为</v>
          </cell>
          <cell r="J96" t="str">
            <v>-</v>
          </cell>
          <cell r="K96" t="str">
            <v>B</v>
          </cell>
          <cell r="L96" t="str">
            <v>B</v>
          </cell>
          <cell r="M96" t="str">
            <v>符合</v>
          </cell>
          <cell r="N96" t="str">
            <v>4-2</v>
          </cell>
        </row>
        <row r="97">
          <cell r="B97" t="str">
            <v>王屹杰</v>
          </cell>
          <cell r="C97" t="str">
            <v>王屹杰</v>
          </cell>
          <cell r="D97" t="str">
            <v>男</v>
          </cell>
          <cell r="E97">
            <v>45110</v>
          </cell>
          <cell r="F97" t="str">
            <v>载荷毫米波部</v>
          </cell>
          <cell r="G97" t="str">
            <v>芯片集成组</v>
          </cell>
          <cell r="H97" t="str">
            <v>芯片工程师</v>
          </cell>
          <cell r="I97" t="str">
            <v>张大为</v>
          </cell>
          <cell r="J97" t="str">
            <v>B</v>
          </cell>
          <cell r="K97" t="str">
            <v>B</v>
          </cell>
          <cell r="L97" t="str">
            <v>B</v>
          </cell>
          <cell r="M97" t="str">
            <v>不符合</v>
          </cell>
          <cell r="N97" t="str">
            <v>3-3</v>
          </cell>
        </row>
        <row r="98">
          <cell r="B98" t="str">
            <v>王东昊</v>
          </cell>
          <cell r="C98" t="str">
            <v>王东昊</v>
          </cell>
          <cell r="D98" t="str">
            <v>男</v>
          </cell>
          <cell r="E98">
            <v>44886</v>
          </cell>
          <cell r="F98" t="str">
            <v>载荷毫米波部</v>
          </cell>
          <cell r="G98" t="str">
            <v>信息综合部</v>
          </cell>
          <cell r="H98" t="str">
            <v>系统/整机工程师</v>
          </cell>
          <cell r="I98" t="str">
            <v>朱正贤</v>
          </cell>
          <cell r="J98" t="str">
            <v>B</v>
          </cell>
          <cell r="K98" t="str">
            <v>B</v>
          </cell>
          <cell r="L98" t="str">
            <v>B</v>
          </cell>
        </row>
        <row r="98">
          <cell r="N98" t="str">
            <v>推荐6级</v>
          </cell>
        </row>
        <row r="99">
          <cell r="B99" t="str">
            <v>龚模辉</v>
          </cell>
          <cell r="C99" t="str">
            <v>龚模辉</v>
          </cell>
          <cell r="D99" t="str">
            <v>男</v>
          </cell>
          <cell r="E99">
            <v>45644</v>
          </cell>
          <cell r="F99" t="str">
            <v>载荷毫米波部</v>
          </cell>
          <cell r="G99" t="str">
            <v>信息综合部</v>
          </cell>
          <cell r="H99" t="str">
            <v>平台硬件工程师</v>
          </cell>
          <cell r="I99" t="str">
            <v>奚凯</v>
          </cell>
          <cell r="J99" t="str">
            <v>-</v>
          </cell>
          <cell r="K99" t="str">
            <v>-</v>
          </cell>
          <cell r="L99" t="str">
            <v>B</v>
          </cell>
        </row>
        <row r="99">
          <cell r="N99" t="e">
            <v>#N/A</v>
          </cell>
        </row>
        <row r="100">
          <cell r="B100" t="str">
            <v>黎溢贤</v>
          </cell>
          <cell r="C100" t="str">
            <v>黎溢贤</v>
          </cell>
          <cell r="D100" t="str">
            <v>男</v>
          </cell>
          <cell r="E100">
            <v>45728</v>
          </cell>
          <cell r="F100" t="str">
            <v>载荷毫米波部</v>
          </cell>
          <cell r="G100" t="str">
            <v>信息综合部</v>
          </cell>
          <cell r="H100" t="str">
            <v>系统测试工程师</v>
          </cell>
          <cell r="I100" t="str">
            <v>奚凯</v>
          </cell>
          <cell r="J100" t="str">
            <v>-</v>
          </cell>
          <cell r="K100" t="str">
            <v>-</v>
          </cell>
          <cell r="L100" t="str">
            <v>B+</v>
          </cell>
        </row>
        <row r="100">
          <cell r="N100" t="e">
            <v>#N/A</v>
          </cell>
        </row>
        <row r="101">
          <cell r="B101" t="str">
            <v>田正</v>
          </cell>
          <cell r="C101" t="str">
            <v>田正</v>
          </cell>
          <cell r="D101" t="str">
            <v>男</v>
          </cell>
          <cell r="E101">
            <v>45742</v>
          </cell>
          <cell r="F101" t="str">
            <v>载荷毫米波部</v>
          </cell>
          <cell r="G101" t="str">
            <v>信息综合部</v>
          </cell>
          <cell r="H101" t="str">
            <v>平台硬件工程师</v>
          </cell>
          <cell r="I101" t="str">
            <v>付强</v>
          </cell>
          <cell r="J101" t="str">
            <v>-</v>
          </cell>
          <cell r="K101" t="str">
            <v>-</v>
          </cell>
          <cell r="L101" t="str">
            <v>B</v>
          </cell>
        </row>
        <row r="101">
          <cell r="N101" t="e">
            <v>#N/A</v>
          </cell>
        </row>
        <row r="102">
          <cell r="B102" t="str">
            <v>牟丹</v>
          </cell>
          <cell r="C102" t="str">
            <v>牟丹</v>
          </cell>
          <cell r="D102" t="str">
            <v>男</v>
          </cell>
          <cell r="E102">
            <v>45754</v>
          </cell>
          <cell r="F102" t="str">
            <v>载荷毫米波部</v>
          </cell>
          <cell r="G102" t="str">
            <v>信息综合部</v>
          </cell>
          <cell r="H102" t="str">
            <v>算法与协议软件工程师</v>
          </cell>
          <cell r="I102" t="str">
            <v>奚凯</v>
          </cell>
          <cell r="J102" t="str">
            <v>-</v>
          </cell>
          <cell r="K102" t="str">
            <v>-</v>
          </cell>
          <cell r="L102" t="str">
            <v>B-</v>
          </cell>
        </row>
        <row r="102">
          <cell r="N102" t="e">
            <v>#N/A</v>
          </cell>
        </row>
        <row r="103">
          <cell r="B103" t="str">
            <v>王晶</v>
          </cell>
          <cell r="C103" t="str">
            <v>王晶</v>
          </cell>
          <cell r="D103" t="str">
            <v>男</v>
          </cell>
          <cell r="E103">
            <v>45756</v>
          </cell>
          <cell r="F103" t="str">
            <v>载荷毫米波部</v>
          </cell>
          <cell r="G103" t="str">
            <v>信息综合部</v>
          </cell>
          <cell r="H103" t="str">
            <v>系统测试工程师</v>
          </cell>
          <cell r="I103" t="str">
            <v>奚凯</v>
          </cell>
          <cell r="J103" t="str">
            <v>-</v>
          </cell>
          <cell r="K103" t="str">
            <v>-</v>
          </cell>
          <cell r="L103" t="str">
            <v>B</v>
          </cell>
        </row>
        <row r="103">
          <cell r="N103" t="e">
            <v>#N/A</v>
          </cell>
        </row>
        <row r="104">
          <cell r="B104" t="str">
            <v>甘晨君</v>
          </cell>
          <cell r="C104" t="str">
            <v>甘晨君</v>
          </cell>
          <cell r="D104" t="str">
            <v>男</v>
          </cell>
          <cell r="E104">
            <v>45798</v>
          </cell>
          <cell r="F104" t="str">
            <v>载荷毫米波部</v>
          </cell>
          <cell r="G104" t="str">
            <v>信息综合部</v>
          </cell>
          <cell r="H104" t="str">
            <v>平台硬件工程师</v>
          </cell>
          <cell r="I104" t="str">
            <v>付强</v>
          </cell>
          <cell r="J104" t="str">
            <v>-</v>
          </cell>
          <cell r="K104" t="str">
            <v>-</v>
          </cell>
          <cell r="L104" t="str">
            <v>-</v>
          </cell>
        </row>
        <row r="104">
          <cell r="N104" t="e">
            <v>#N/A</v>
          </cell>
        </row>
        <row r="105">
          <cell r="B105" t="str">
            <v>张鹏杰</v>
          </cell>
          <cell r="C105" t="str">
            <v>张鹏杰</v>
          </cell>
          <cell r="D105" t="str">
            <v>男</v>
          </cell>
          <cell r="E105">
            <v>45817</v>
          </cell>
          <cell r="F105" t="str">
            <v>载荷毫米波部</v>
          </cell>
          <cell r="G105" t="str">
            <v>信息综合部</v>
          </cell>
          <cell r="H105" t="str">
            <v>算法与协议软件工程师</v>
          </cell>
          <cell r="I105" t="str">
            <v>孟雪伟</v>
          </cell>
          <cell r="J105" t="str">
            <v>-</v>
          </cell>
          <cell r="K105" t="str">
            <v>-</v>
          </cell>
          <cell r="L105" t="str">
            <v>-</v>
          </cell>
        </row>
        <row r="105">
          <cell r="N105" t="e">
            <v>#N/A</v>
          </cell>
        </row>
        <row r="106">
          <cell r="B106" t="str">
            <v>张骁帆</v>
          </cell>
          <cell r="C106" t="str">
            <v>张骁帆</v>
          </cell>
          <cell r="D106" t="str">
            <v>男</v>
          </cell>
          <cell r="E106">
            <v>45839</v>
          </cell>
          <cell r="F106" t="str">
            <v>载荷毫米波部</v>
          </cell>
          <cell r="G106" t="str">
            <v>信息综合部</v>
          </cell>
          <cell r="H106" t="str">
            <v>算法与协议软件工程师</v>
          </cell>
          <cell r="I106" t="str">
            <v>孟雪伟</v>
          </cell>
          <cell r="J106" t="str">
            <v>-</v>
          </cell>
          <cell r="K106" t="str">
            <v>-</v>
          </cell>
          <cell r="L106" t="str">
            <v>-</v>
          </cell>
        </row>
        <row r="106">
          <cell r="N106" t="e">
            <v>#N/A</v>
          </cell>
        </row>
        <row r="107">
          <cell r="B107" t="str">
            <v>肖晶成</v>
          </cell>
          <cell r="C107" t="str">
            <v>肖晶成</v>
          </cell>
          <cell r="D107" t="str">
            <v>男</v>
          </cell>
          <cell r="E107">
            <v>45859</v>
          </cell>
          <cell r="F107" t="str">
            <v>载荷毫米波部</v>
          </cell>
          <cell r="G107" t="str">
            <v>信息综合部</v>
          </cell>
          <cell r="H107" t="str">
            <v>算法与协议软件工程师</v>
          </cell>
          <cell r="I107" t="str">
            <v>孟雪伟</v>
          </cell>
          <cell r="J107" t="str">
            <v>-</v>
          </cell>
          <cell r="K107" t="str">
            <v>-</v>
          </cell>
          <cell r="L107" t="str">
            <v>-</v>
          </cell>
        </row>
        <row r="107">
          <cell r="N107" t="e">
            <v>#N/A</v>
          </cell>
        </row>
        <row r="108">
          <cell r="B108" t="str">
            <v>李亚滨</v>
          </cell>
          <cell r="C108" t="str">
            <v>李亚滨</v>
          </cell>
          <cell r="D108" t="str">
            <v>男</v>
          </cell>
          <cell r="E108">
            <v>45901</v>
          </cell>
          <cell r="F108" t="str">
            <v>载荷毫米波部</v>
          </cell>
          <cell r="G108" t="str">
            <v>信息综合部</v>
          </cell>
          <cell r="H108" t="str">
            <v>平台软件工程师</v>
          </cell>
          <cell r="I108" t="str">
            <v>付强</v>
          </cell>
          <cell r="J108" t="str">
            <v>-</v>
          </cell>
          <cell r="K108" t="str">
            <v>-</v>
          </cell>
          <cell r="L108" t="str">
            <v>-</v>
          </cell>
        </row>
        <row r="108">
          <cell r="N108" t="e">
            <v>#N/A</v>
          </cell>
        </row>
        <row r="109">
          <cell r="B109" t="str">
            <v>叶涛</v>
          </cell>
          <cell r="C109" t="str">
            <v>叶涛</v>
          </cell>
          <cell r="D109" t="str">
            <v>男</v>
          </cell>
          <cell r="E109">
            <v>45901</v>
          </cell>
          <cell r="F109" t="str">
            <v>载荷毫米波部</v>
          </cell>
          <cell r="G109" t="str">
            <v>信息综合部</v>
          </cell>
          <cell r="H109" t="str">
            <v>系统测试工程师</v>
          </cell>
          <cell r="I109" t="str">
            <v>奚凯</v>
          </cell>
          <cell r="J109" t="str">
            <v>-</v>
          </cell>
          <cell r="K109" t="str">
            <v>-</v>
          </cell>
          <cell r="L109" t="str">
            <v>-</v>
          </cell>
        </row>
        <row r="109">
          <cell r="N109" t="e">
            <v>#N/A</v>
          </cell>
        </row>
        <row r="110">
          <cell r="B110" t="str">
            <v>王蓓</v>
          </cell>
          <cell r="C110" t="str">
            <v>王蓓</v>
          </cell>
          <cell r="D110" t="str">
            <v>女</v>
          </cell>
          <cell r="E110">
            <v>45917</v>
          </cell>
          <cell r="F110" t="str">
            <v>载荷毫米波部</v>
          </cell>
          <cell r="G110" t="str">
            <v>信息综合部</v>
          </cell>
          <cell r="H110" t="str">
            <v>平台软件工程师</v>
          </cell>
          <cell r="I110" t="str">
            <v>付强</v>
          </cell>
          <cell r="J110" t="str">
            <v>-</v>
          </cell>
          <cell r="K110" t="str">
            <v>-</v>
          </cell>
          <cell r="L110" t="str">
            <v>-</v>
          </cell>
        </row>
        <row r="110">
          <cell r="N110" t="e">
            <v>#N/A</v>
          </cell>
        </row>
        <row r="111">
          <cell r="B111" t="str">
            <v>李智高</v>
          </cell>
          <cell r="C111" t="str">
            <v>李智高</v>
          </cell>
          <cell r="D111" t="str">
            <v>男</v>
          </cell>
          <cell r="E111">
            <v>45964</v>
          </cell>
          <cell r="F111" t="str">
            <v>载荷毫米波部</v>
          </cell>
          <cell r="G111" t="str">
            <v>信息综合部</v>
          </cell>
          <cell r="H111" t="str">
            <v>算法与协议软件工程师</v>
          </cell>
          <cell r="I111" t="str">
            <v>奚凯</v>
          </cell>
          <cell r="J111" t="str">
            <v>-</v>
          </cell>
          <cell r="K111" t="str">
            <v>-</v>
          </cell>
          <cell r="L111" t="str">
            <v>-</v>
          </cell>
        </row>
        <row r="111">
          <cell r="N111" t="e">
            <v>#N/A</v>
          </cell>
        </row>
        <row r="112">
          <cell r="B112" t="str">
            <v>李文俊</v>
          </cell>
          <cell r="C112" t="str">
            <v>李文俊</v>
          </cell>
          <cell r="D112" t="str">
            <v>男</v>
          </cell>
          <cell r="E112">
            <v>45250</v>
          </cell>
          <cell r="F112" t="str">
            <v>载荷毫米波部</v>
          </cell>
          <cell r="G112" t="str">
            <v>信息综合部</v>
          </cell>
          <cell r="H112" t="str">
            <v>平台软件工程师</v>
          </cell>
          <cell r="I112" t="str">
            <v>奚凯</v>
          </cell>
          <cell r="J112" t="str">
            <v>A</v>
          </cell>
          <cell r="K112" t="str">
            <v>A</v>
          </cell>
          <cell r="L112" t="str">
            <v>A</v>
          </cell>
        </row>
        <row r="112">
          <cell r="N112" t="str">
            <v>推荐6级</v>
          </cell>
        </row>
        <row r="113">
          <cell r="B113" t="str">
            <v>王刚</v>
          </cell>
          <cell r="C113" t="str">
            <v>王刚</v>
          </cell>
          <cell r="D113" t="str">
            <v>男</v>
          </cell>
          <cell r="E113">
            <v>43726</v>
          </cell>
          <cell r="F113" t="str">
            <v>载荷毫米波部</v>
          </cell>
          <cell r="G113" t="str">
            <v>信息综合部</v>
          </cell>
          <cell r="H113" t="str">
            <v>系统/整机工程师</v>
          </cell>
          <cell r="I113" t="str">
            <v>朱正贤</v>
          </cell>
          <cell r="J113" t="str">
            <v>B</v>
          </cell>
          <cell r="K113" t="str">
            <v>B</v>
          </cell>
          <cell r="L113" t="str">
            <v>B</v>
          </cell>
        </row>
        <row r="113">
          <cell r="N113" t="str">
            <v>推荐6级</v>
          </cell>
        </row>
        <row r="114">
          <cell r="B114" t="str">
            <v>李强</v>
          </cell>
          <cell r="C114" t="str">
            <v>李强</v>
          </cell>
          <cell r="D114" t="str">
            <v>男</v>
          </cell>
          <cell r="E114">
            <v>45117</v>
          </cell>
          <cell r="F114" t="str">
            <v>载荷毫米波部</v>
          </cell>
          <cell r="G114" t="str">
            <v>信息综合部</v>
          </cell>
          <cell r="H114" t="str">
            <v>算法与协议软件工程师</v>
          </cell>
          <cell r="I114" t="str">
            <v>奚凯</v>
          </cell>
          <cell r="J114" t="str">
            <v>B</v>
          </cell>
          <cell r="K114" t="str">
            <v>B</v>
          </cell>
          <cell r="L114" t="str">
            <v>B+</v>
          </cell>
        </row>
        <row r="114">
          <cell r="N114" t="str">
            <v>推荐6级</v>
          </cell>
        </row>
        <row r="115">
          <cell r="B115" t="str">
            <v>林伟</v>
          </cell>
          <cell r="C115" t="str">
            <v>林伟</v>
          </cell>
          <cell r="D115" t="str">
            <v>男</v>
          </cell>
          <cell r="E115">
            <v>43631</v>
          </cell>
          <cell r="F115" t="str">
            <v>载荷毫米波部</v>
          </cell>
          <cell r="G115" t="str">
            <v>信息综合部</v>
          </cell>
          <cell r="H115" t="str">
            <v>算法与协议软件工程师</v>
          </cell>
          <cell r="I115" t="str">
            <v>奚凯</v>
          </cell>
          <cell r="J115" t="str">
            <v>B+</v>
          </cell>
          <cell r="K115" t="str">
            <v>B</v>
          </cell>
          <cell r="L115" t="str">
            <v>B+</v>
          </cell>
        </row>
        <row r="115">
          <cell r="N115" t="str">
            <v>5-3</v>
          </cell>
        </row>
        <row r="116">
          <cell r="B116" t="str">
            <v>张欢欢</v>
          </cell>
          <cell r="C116" t="str">
            <v>张欢欢</v>
          </cell>
          <cell r="D116" t="str">
            <v>男</v>
          </cell>
          <cell r="E116">
            <v>44902</v>
          </cell>
          <cell r="F116" t="str">
            <v>载荷毫米波部</v>
          </cell>
          <cell r="G116" t="str">
            <v>信息综合部</v>
          </cell>
          <cell r="H116" t="str">
            <v>算法与协议软件工程师</v>
          </cell>
          <cell r="I116" t="str">
            <v>奚凯</v>
          </cell>
          <cell r="J116" t="str">
            <v>B</v>
          </cell>
          <cell r="K116" t="str">
            <v>B</v>
          </cell>
          <cell r="L116" t="str">
            <v>B</v>
          </cell>
        </row>
        <row r="116">
          <cell r="N116" t="str">
            <v>5-3</v>
          </cell>
        </row>
        <row r="117">
          <cell r="B117" t="str">
            <v>高剑钧</v>
          </cell>
          <cell r="C117" t="str">
            <v>高剑钧</v>
          </cell>
          <cell r="D117" t="str">
            <v>男</v>
          </cell>
          <cell r="E117">
            <v>44921</v>
          </cell>
          <cell r="F117" t="str">
            <v>载荷毫米波部</v>
          </cell>
          <cell r="G117" t="str">
            <v>信息综合部</v>
          </cell>
          <cell r="H117" t="str">
            <v>算法与协议软件工程师</v>
          </cell>
          <cell r="I117" t="str">
            <v>奚凯</v>
          </cell>
          <cell r="J117" t="str">
            <v>B</v>
          </cell>
          <cell r="K117" t="str">
            <v>B</v>
          </cell>
          <cell r="L117" t="str">
            <v>B</v>
          </cell>
        </row>
        <row r="117">
          <cell r="N117" t="str">
            <v>5-3</v>
          </cell>
        </row>
        <row r="118">
          <cell r="B118" t="str">
            <v>王振华</v>
          </cell>
          <cell r="C118" t="str">
            <v>王振华</v>
          </cell>
          <cell r="D118" t="str">
            <v>男</v>
          </cell>
          <cell r="E118">
            <v>45420</v>
          </cell>
          <cell r="F118" t="str">
            <v>载荷毫米波部</v>
          </cell>
          <cell r="G118" t="str">
            <v>信息综合部</v>
          </cell>
          <cell r="H118" t="str">
            <v>平台硬件工程师</v>
          </cell>
          <cell r="I118" t="str">
            <v>奚凯</v>
          </cell>
          <cell r="J118" t="str">
            <v>-</v>
          </cell>
          <cell r="K118" t="str">
            <v>B</v>
          </cell>
          <cell r="L118" t="str">
            <v>A</v>
          </cell>
        </row>
        <row r="118">
          <cell r="N118" t="str">
            <v>5-3</v>
          </cell>
        </row>
        <row r="119">
          <cell r="B119" t="str">
            <v>翟伟强</v>
          </cell>
          <cell r="C119" t="str">
            <v>翟伟强</v>
          </cell>
          <cell r="D119" t="str">
            <v>男</v>
          </cell>
          <cell r="E119">
            <v>45623</v>
          </cell>
          <cell r="F119" t="str">
            <v>载荷毫米波部</v>
          </cell>
          <cell r="G119" t="str">
            <v>信息综合部</v>
          </cell>
          <cell r="H119" t="str">
            <v>平台软件工程师</v>
          </cell>
          <cell r="I119" t="str">
            <v>奚凯</v>
          </cell>
          <cell r="J119" t="str">
            <v>-</v>
          </cell>
          <cell r="K119" t="str">
            <v>-</v>
          </cell>
          <cell r="L119" t="str">
            <v>B+</v>
          </cell>
        </row>
        <row r="119">
          <cell r="N119" t="str">
            <v>5-3</v>
          </cell>
        </row>
        <row r="120">
          <cell r="B120" t="str">
            <v>张勇</v>
          </cell>
          <cell r="C120" t="str">
            <v>张勇</v>
          </cell>
          <cell r="D120" t="str">
            <v>男</v>
          </cell>
          <cell r="E120">
            <v>43689</v>
          </cell>
          <cell r="F120" t="str">
            <v>载荷毫米波部</v>
          </cell>
          <cell r="G120" t="str">
            <v>信息综合部</v>
          </cell>
          <cell r="H120" t="str">
            <v>系统/整机工程师</v>
          </cell>
          <cell r="I120" t="str">
            <v>朱正贤</v>
          </cell>
          <cell r="J120" t="str">
            <v>B</v>
          </cell>
          <cell r="K120" t="str">
            <v>B</v>
          </cell>
          <cell r="L120" t="str">
            <v>B</v>
          </cell>
          <cell r="M120" t="str">
            <v>不符合</v>
          </cell>
          <cell r="N120" t="str">
            <v>5-2</v>
          </cell>
        </row>
        <row r="121">
          <cell r="B121" t="str">
            <v>公衍辉</v>
          </cell>
          <cell r="C121" t="str">
            <v>公衍辉</v>
          </cell>
          <cell r="D121" t="str">
            <v>男</v>
          </cell>
          <cell r="E121">
            <v>44186</v>
          </cell>
          <cell r="F121" t="str">
            <v>载荷毫米波部</v>
          </cell>
          <cell r="G121" t="str">
            <v>信息综合部</v>
          </cell>
          <cell r="H121" t="str">
            <v>平台软件工程师</v>
          </cell>
          <cell r="I121" t="str">
            <v>奚凯</v>
          </cell>
          <cell r="J121" t="str">
            <v>B</v>
          </cell>
          <cell r="K121" t="str">
            <v>B</v>
          </cell>
          <cell r="L121" t="str">
            <v>B</v>
          </cell>
          <cell r="M121" t="str">
            <v>不符合</v>
          </cell>
          <cell r="N121" t="str">
            <v>5-2</v>
          </cell>
        </row>
        <row r="122">
          <cell r="B122" t="str">
            <v>付强</v>
          </cell>
          <cell r="C122" t="str">
            <v>付强</v>
          </cell>
          <cell r="D122" t="str">
            <v>男</v>
          </cell>
          <cell r="E122">
            <v>44774</v>
          </cell>
          <cell r="F122" t="str">
            <v>载荷毫米波部</v>
          </cell>
          <cell r="G122" t="str">
            <v>信息综合部</v>
          </cell>
          <cell r="H122" t="str">
            <v>平台硬件工程师</v>
          </cell>
          <cell r="I122" t="str">
            <v>奚凯</v>
          </cell>
          <cell r="J122" t="str">
            <v>A</v>
          </cell>
          <cell r="K122" t="str">
            <v>A</v>
          </cell>
          <cell r="L122" t="str">
            <v>B+</v>
          </cell>
          <cell r="M122" t="str">
            <v>可提破格</v>
          </cell>
          <cell r="N122" t="str">
            <v>5-2</v>
          </cell>
        </row>
        <row r="123">
          <cell r="B123" t="str">
            <v>许民远</v>
          </cell>
          <cell r="C123" t="str">
            <v>许民远</v>
          </cell>
          <cell r="D123" t="str">
            <v>男</v>
          </cell>
          <cell r="E123">
            <v>44879</v>
          </cell>
          <cell r="F123" t="str">
            <v>载荷毫米波部</v>
          </cell>
          <cell r="G123" t="str">
            <v>信息综合部</v>
          </cell>
          <cell r="H123" t="str">
            <v>平台软件工程师</v>
          </cell>
          <cell r="I123" t="str">
            <v>奚凯</v>
          </cell>
          <cell r="J123" t="str">
            <v>B+</v>
          </cell>
          <cell r="K123" t="str">
            <v>B</v>
          </cell>
          <cell r="L123" t="str">
            <v>B</v>
          </cell>
          <cell r="M123" t="str">
            <v>不符合</v>
          </cell>
          <cell r="N123" t="str">
            <v>5-2</v>
          </cell>
        </row>
        <row r="124">
          <cell r="B124" t="str">
            <v>杜守德</v>
          </cell>
          <cell r="C124" t="str">
            <v>杜守德</v>
          </cell>
          <cell r="D124" t="str">
            <v>男</v>
          </cell>
          <cell r="E124">
            <v>45113</v>
          </cell>
          <cell r="F124" t="str">
            <v>载荷毫米波部</v>
          </cell>
          <cell r="G124" t="str">
            <v>信息综合部</v>
          </cell>
          <cell r="H124" t="str">
            <v>算法与协议软件工程师</v>
          </cell>
          <cell r="I124" t="str">
            <v>奚凯</v>
          </cell>
          <cell r="J124" t="str">
            <v>B</v>
          </cell>
          <cell r="K124" t="str">
            <v>B</v>
          </cell>
          <cell r="L124" t="str">
            <v>A</v>
          </cell>
          <cell r="M124" t="str">
            <v>可提破格</v>
          </cell>
          <cell r="N124" t="str">
            <v>5-2</v>
          </cell>
        </row>
        <row r="125">
          <cell r="B125" t="str">
            <v>孙晓春</v>
          </cell>
          <cell r="C125" t="str">
            <v>孙晓春</v>
          </cell>
          <cell r="D125" t="str">
            <v>男</v>
          </cell>
          <cell r="E125">
            <v>45293</v>
          </cell>
          <cell r="F125" t="str">
            <v>载荷毫米波部</v>
          </cell>
          <cell r="G125" t="str">
            <v>信息综合部</v>
          </cell>
          <cell r="H125" t="str">
            <v>算法与协议软件工程师</v>
          </cell>
          <cell r="I125" t="str">
            <v>奚凯</v>
          </cell>
          <cell r="J125" t="str">
            <v>B+</v>
          </cell>
          <cell r="K125" t="str">
            <v>B</v>
          </cell>
          <cell r="L125" t="str">
            <v>B</v>
          </cell>
          <cell r="M125" t="str">
            <v>不符合</v>
          </cell>
          <cell r="N125" t="str">
            <v>5-2</v>
          </cell>
        </row>
        <row r="126">
          <cell r="B126" t="str">
            <v>何楠</v>
          </cell>
          <cell r="C126" t="str">
            <v>何楠</v>
          </cell>
          <cell r="D126" t="str">
            <v>男</v>
          </cell>
          <cell r="E126">
            <v>45425</v>
          </cell>
          <cell r="F126" t="str">
            <v>载荷毫米波部</v>
          </cell>
          <cell r="G126" t="str">
            <v>信息综合部</v>
          </cell>
          <cell r="H126" t="str">
            <v>系统测试工程师</v>
          </cell>
          <cell r="I126" t="str">
            <v>奚凯</v>
          </cell>
          <cell r="J126" t="str">
            <v>-</v>
          </cell>
          <cell r="K126" t="str">
            <v>B</v>
          </cell>
          <cell r="L126" t="str">
            <v>A</v>
          </cell>
          <cell r="M126" t="str">
            <v>可提破格</v>
          </cell>
          <cell r="N126" t="str">
            <v>5-2</v>
          </cell>
        </row>
        <row r="127">
          <cell r="B127" t="str">
            <v>冯增光</v>
          </cell>
          <cell r="C127" t="str">
            <v>冯增光</v>
          </cell>
          <cell r="D127" t="str">
            <v>男</v>
          </cell>
          <cell r="E127">
            <v>45614</v>
          </cell>
          <cell r="F127" t="str">
            <v>载荷毫米波部</v>
          </cell>
          <cell r="G127" t="str">
            <v>信息综合部</v>
          </cell>
          <cell r="H127" t="str">
            <v>平台软件工程师</v>
          </cell>
          <cell r="I127" t="str">
            <v>奚凯</v>
          </cell>
          <cell r="J127" t="str">
            <v>-</v>
          </cell>
          <cell r="K127" t="str">
            <v>-</v>
          </cell>
          <cell r="L127" t="str">
            <v>B</v>
          </cell>
          <cell r="M127" t="str">
            <v>不符合</v>
          </cell>
          <cell r="N127" t="str">
            <v>5-2</v>
          </cell>
        </row>
        <row r="128">
          <cell r="B128" t="str">
            <v>袁捷</v>
          </cell>
          <cell r="C128" t="str">
            <v>袁捷</v>
          </cell>
          <cell r="D128" t="str">
            <v>男</v>
          </cell>
          <cell r="E128">
            <v>44013</v>
          </cell>
          <cell r="F128" t="str">
            <v>载荷毫米波部</v>
          </cell>
          <cell r="G128" t="str">
            <v>信息综合部</v>
          </cell>
          <cell r="H128" t="str">
            <v>平台硬件工程师</v>
          </cell>
          <cell r="I128" t="str">
            <v>奚凯</v>
          </cell>
          <cell r="J128" t="str">
            <v>C</v>
          </cell>
          <cell r="K128" t="str">
            <v>B</v>
          </cell>
          <cell r="L128" t="str">
            <v>B</v>
          </cell>
          <cell r="M128" t="str">
            <v>符合</v>
          </cell>
          <cell r="N128" t="str">
            <v>5-1</v>
          </cell>
        </row>
        <row r="129">
          <cell r="B129" t="str">
            <v>李洋</v>
          </cell>
          <cell r="C129" t="str">
            <v>李洋</v>
          </cell>
          <cell r="D129" t="str">
            <v>男</v>
          </cell>
          <cell r="E129">
            <v>44426</v>
          </cell>
          <cell r="F129" t="str">
            <v>载荷毫米波部</v>
          </cell>
          <cell r="G129" t="str">
            <v>信息综合部</v>
          </cell>
          <cell r="H129" t="str">
            <v>算法与协议软件工程师</v>
          </cell>
          <cell r="I129" t="str">
            <v>奚凯</v>
          </cell>
          <cell r="J129" t="str">
            <v>B</v>
          </cell>
          <cell r="K129" t="str">
            <v>B</v>
          </cell>
          <cell r="L129" t="str">
            <v>B</v>
          </cell>
          <cell r="M129" t="str">
            <v>符合</v>
          </cell>
          <cell r="N129" t="str">
            <v>5-1</v>
          </cell>
        </row>
        <row r="130">
          <cell r="B130" t="str">
            <v>孟雪伟</v>
          </cell>
          <cell r="C130" t="str">
            <v>孟雪伟</v>
          </cell>
          <cell r="D130" t="str">
            <v>女</v>
          </cell>
          <cell r="E130">
            <v>44879</v>
          </cell>
          <cell r="F130" t="str">
            <v>载荷毫米波部</v>
          </cell>
          <cell r="G130" t="str">
            <v>信息综合部</v>
          </cell>
          <cell r="H130" t="str">
            <v>算法与协议软件工程师</v>
          </cell>
          <cell r="I130" t="str">
            <v>奚凯</v>
          </cell>
          <cell r="J130" t="str">
            <v>B+</v>
          </cell>
          <cell r="K130" t="str">
            <v>B</v>
          </cell>
          <cell r="L130" t="str">
            <v>B+</v>
          </cell>
          <cell r="M130" t="str">
            <v>符合</v>
          </cell>
          <cell r="N130" t="str">
            <v>5-1</v>
          </cell>
        </row>
        <row r="131">
          <cell r="B131" t="str">
            <v>武凤标</v>
          </cell>
          <cell r="C131" t="str">
            <v>武凤标</v>
          </cell>
          <cell r="D131" t="str">
            <v>男</v>
          </cell>
          <cell r="E131">
            <v>45250</v>
          </cell>
          <cell r="F131" t="str">
            <v>载荷毫米波部</v>
          </cell>
          <cell r="G131" t="str">
            <v>信息综合部</v>
          </cell>
          <cell r="H131" t="str">
            <v>系统测试工程师</v>
          </cell>
          <cell r="I131" t="str">
            <v>奚凯</v>
          </cell>
          <cell r="J131" t="str">
            <v>A</v>
          </cell>
          <cell r="K131" t="str">
            <v>A</v>
          </cell>
          <cell r="L131" t="str">
            <v>B</v>
          </cell>
          <cell r="M131" t="str">
            <v>符合</v>
          </cell>
          <cell r="N131" t="str">
            <v>5-1</v>
          </cell>
        </row>
        <row r="132">
          <cell r="B132" t="str">
            <v>郭亮</v>
          </cell>
          <cell r="C132" t="str">
            <v>郭亮</v>
          </cell>
          <cell r="D132" t="str">
            <v>男</v>
          </cell>
          <cell r="E132">
            <v>45516</v>
          </cell>
          <cell r="F132" t="str">
            <v>载荷毫米波部</v>
          </cell>
          <cell r="G132" t="str">
            <v>信息综合部</v>
          </cell>
          <cell r="H132" t="str">
            <v>平台软件工程师</v>
          </cell>
          <cell r="I132" t="str">
            <v>奚凯</v>
          </cell>
          <cell r="J132" t="str">
            <v>-</v>
          </cell>
          <cell r="K132" t="str">
            <v>B</v>
          </cell>
          <cell r="L132" t="str">
            <v>B+</v>
          </cell>
          <cell r="M132" t="str">
            <v>符合</v>
          </cell>
          <cell r="N132" t="str">
            <v>5-1</v>
          </cell>
        </row>
        <row r="133">
          <cell r="B133" t="str">
            <v>张振</v>
          </cell>
          <cell r="C133" t="str">
            <v>张振</v>
          </cell>
          <cell r="D133" t="str">
            <v>男</v>
          </cell>
          <cell r="E133">
            <v>45600</v>
          </cell>
          <cell r="F133" t="str">
            <v>载荷毫米波部</v>
          </cell>
          <cell r="G133" t="str">
            <v>信息综合部</v>
          </cell>
          <cell r="H133" t="str">
            <v>算法与协议软件工程师</v>
          </cell>
          <cell r="I133" t="str">
            <v>奚凯</v>
          </cell>
          <cell r="J133" t="str">
            <v>-</v>
          </cell>
          <cell r="K133" t="str">
            <v>-</v>
          </cell>
          <cell r="L133" t="str">
            <v>B</v>
          </cell>
          <cell r="M133" t="str">
            <v>不符合</v>
          </cell>
          <cell r="N133" t="str">
            <v>5-1</v>
          </cell>
        </row>
        <row r="134">
          <cell r="B134" t="str">
            <v>薛冰</v>
          </cell>
          <cell r="C134" t="str">
            <v>薛冰</v>
          </cell>
          <cell r="D134" t="str">
            <v>男</v>
          </cell>
          <cell r="E134">
            <v>45628</v>
          </cell>
          <cell r="F134" t="str">
            <v>载荷毫米波部</v>
          </cell>
          <cell r="G134" t="str">
            <v>信息综合部</v>
          </cell>
          <cell r="H134" t="str">
            <v>平台软件工程师</v>
          </cell>
          <cell r="I134" t="str">
            <v>奚凯</v>
          </cell>
          <cell r="J134" t="str">
            <v>-</v>
          </cell>
          <cell r="K134" t="str">
            <v>-</v>
          </cell>
          <cell r="L134" t="str">
            <v>B</v>
          </cell>
          <cell r="M134" t="str">
            <v>不符合</v>
          </cell>
          <cell r="N134" t="str">
            <v>5-1</v>
          </cell>
        </row>
        <row r="135">
          <cell r="B135" t="str">
            <v>李建成</v>
          </cell>
          <cell r="C135" t="str">
            <v>李建成</v>
          </cell>
          <cell r="D135" t="str">
            <v>男</v>
          </cell>
          <cell r="E135">
            <v>43292</v>
          </cell>
          <cell r="F135" t="str">
            <v>载荷毫米波部</v>
          </cell>
          <cell r="G135" t="str">
            <v>信息综合部</v>
          </cell>
          <cell r="H135" t="str">
            <v>系统/整机工程师</v>
          </cell>
          <cell r="I135" t="str">
            <v>朱正贤</v>
          </cell>
          <cell r="J135" t="str">
            <v>B</v>
          </cell>
          <cell r="K135" t="str">
            <v>B</v>
          </cell>
          <cell r="L135" t="str">
            <v>B-</v>
          </cell>
          <cell r="M135" t="str">
            <v>不符合</v>
          </cell>
          <cell r="N135" t="str">
            <v>4-3</v>
          </cell>
        </row>
        <row r="136">
          <cell r="B136" t="str">
            <v>陈润娜</v>
          </cell>
          <cell r="C136" t="str">
            <v>陈润娜</v>
          </cell>
          <cell r="D136" t="str">
            <v>女</v>
          </cell>
          <cell r="E136">
            <v>44865</v>
          </cell>
          <cell r="F136" t="str">
            <v>载荷毫米波部</v>
          </cell>
          <cell r="G136" t="str">
            <v>信息综合部</v>
          </cell>
          <cell r="H136" t="str">
            <v>平台软件工程师</v>
          </cell>
          <cell r="I136" t="str">
            <v>奚凯</v>
          </cell>
          <cell r="J136" t="str">
            <v>B</v>
          </cell>
          <cell r="K136" t="str">
            <v>B</v>
          </cell>
          <cell r="L136" t="str">
            <v>C</v>
          </cell>
          <cell r="M136" t="str">
            <v>不符合</v>
          </cell>
          <cell r="N136" t="str">
            <v>4-3</v>
          </cell>
        </row>
        <row r="137">
          <cell r="B137" t="str">
            <v>高润莲</v>
          </cell>
          <cell r="C137" t="str">
            <v>高润莲</v>
          </cell>
          <cell r="D137" t="str">
            <v>女</v>
          </cell>
          <cell r="E137">
            <v>44963</v>
          </cell>
          <cell r="F137" t="str">
            <v>载荷毫米波部</v>
          </cell>
          <cell r="G137" t="str">
            <v>信息综合部</v>
          </cell>
          <cell r="H137" t="str">
            <v>平台软件工程师</v>
          </cell>
          <cell r="I137" t="str">
            <v>奚凯</v>
          </cell>
          <cell r="J137" t="str">
            <v>B</v>
          </cell>
          <cell r="K137" t="str">
            <v>B</v>
          </cell>
          <cell r="L137" t="str">
            <v>B</v>
          </cell>
          <cell r="M137" t="str">
            <v>不符合</v>
          </cell>
          <cell r="N137" t="str">
            <v>4-3</v>
          </cell>
        </row>
        <row r="138">
          <cell r="B138" t="str">
            <v>连震</v>
          </cell>
          <cell r="C138" t="str">
            <v>连震</v>
          </cell>
          <cell r="D138" t="str">
            <v>男</v>
          </cell>
          <cell r="E138">
            <v>45029</v>
          </cell>
          <cell r="F138" t="str">
            <v>载荷毫米波部</v>
          </cell>
          <cell r="G138" t="str">
            <v>信息综合部</v>
          </cell>
          <cell r="H138" t="str">
            <v>算法与协议软件工程师</v>
          </cell>
          <cell r="I138" t="str">
            <v>奚凯</v>
          </cell>
          <cell r="J138" t="str">
            <v>B</v>
          </cell>
          <cell r="K138" t="str">
            <v>B</v>
          </cell>
          <cell r="L138" t="str">
            <v>B</v>
          </cell>
          <cell r="M138" t="str">
            <v>不符合</v>
          </cell>
          <cell r="N138" t="str">
            <v>4-3</v>
          </cell>
        </row>
        <row r="139">
          <cell r="B139" t="str">
            <v>李科江</v>
          </cell>
          <cell r="C139" t="str">
            <v>李科江</v>
          </cell>
          <cell r="D139" t="str">
            <v>男</v>
          </cell>
          <cell r="E139">
            <v>45462</v>
          </cell>
          <cell r="F139" t="str">
            <v>载荷毫米波部</v>
          </cell>
          <cell r="G139" t="str">
            <v>信息综合部</v>
          </cell>
          <cell r="H139" t="str">
            <v>平台软件工程师</v>
          </cell>
          <cell r="I139" t="str">
            <v>奚凯</v>
          </cell>
          <cell r="J139" t="str">
            <v>-</v>
          </cell>
          <cell r="K139" t="str">
            <v>B</v>
          </cell>
          <cell r="L139" t="str">
            <v>B</v>
          </cell>
          <cell r="M139" t="str">
            <v>不符合</v>
          </cell>
          <cell r="N139" t="str">
            <v>4-3</v>
          </cell>
        </row>
        <row r="140">
          <cell r="B140" t="str">
            <v>冯尊义</v>
          </cell>
          <cell r="C140" t="str">
            <v>冯尊义</v>
          </cell>
          <cell r="D140" t="str">
            <v>男</v>
          </cell>
          <cell r="E140">
            <v>45574</v>
          </cell>
          <cell r="F140" t="str">
            <v>载荷毫米波部</v>
          </cell>
          <cell r="G140" t="str">
            <v>信息综合部</v>
          </cell>
          <cell r="H140" t="str">
            <v>平台硬件工程师</v>
          </cell>
          <cell r="I140" t="str">
            <v>奚凯</v>
          </cell>
          <cell r="J140" t="str">
            <v>-</v>
          </cell>
          <cell r="K140" t="str">
            <v>B</v>
          </cell>
          <cell r="L140" t="str">
            <v>B-</v>
          </cell>
          <cell r="M140" t="str">
            <v>不符合</v>
          </cell>
          <cell r="N140" t="str">
            <v>4-3</v>
          </cell>
        </row>
        <row r="141">
          <cell r="B141" t="str">
            <v>赵允</v>
          </cell>
          <cell r="C141" t="str">
            <v>赵允</v>
          </cell>
          <cell r="D141" t="str">
            <v>女</v>
          </cell>
          <cell r="E141">
            <v>44675</v>
          </cell>
          <cell r="F141" t="str">
            <v>载荷毫米波部</v>
          </cell>
          <cell r="G141" t="str">
            <v>信息综合部</v>
          </cell>
          <cell r="H141" t="str">
            <v>系统测试工程师</v>
          </cell>
          <cell r="I141" t="str">
            <v>奚凯</v>
          </cell>
          <cell r="J141" t="str">
            <v>B</v>
          </cell>
          <cell r="K141" t="str">
            <v>C</v>
          </cell>
          <cell r="L141" t="str">
            <v>B</v>
          </cell>
          <cell r="M141" t="str">
            <v>不符合</v>
          </cell>
          <cell r="N141" t="str">
            <v>4-2</v>
          </cell>
        </row>
        <row r="142">
          <cell r="B142" t="str">
            <v>王欢</v>
          </cell>
          <cell r="C142" t="str">
            <v>王欢</v>
          </cell>
          <cell r="D142" t="str">
            <v>男</v>
          </cell>
          <cell r="E142">
            <v>45050</v>
          </cell>
          <cell r="F142" t="str">
            <v>载荷毫米波部</v>
          </cell>
          <cell r="G142" t="str">
            <v>信息综合部</v>
          </cell>
          <cell r="H142" t="str">
            <v>平台硬件工程师</v>
          </cell>
          <cell r="I142" t="str">
            <v>奚凯</v>
          </cell>
          <cell r="J142" t="str">
            <v>B</v>
          </cell>
          <cell r="K142" t="str">
            <v>B</v>
          </cell>
          <cell r="L142" t="str">
            <v>B</v>
          </cell>
          <cell r="M142" t="str">
            <v>符合</v>
          </cell>
          <cell r="N142" t="str">
            <v>4-2</v>
          </cell>
        </row>
        <row r="143">
          <cell r="B143" t="str">
            <v>徐宇豪</v>
          </cell>
          <cell r="C143" t="str">
            <v>徐宇豪</v>
          </cell>
          <cell r="D143" t="str">
            <v>男</v>
          </cell>
          <cell r="E143">
            <v>45323</v>
          </cell>
          <cell r="F143" t="str">
            <v>载荷毫米波部</v>
          </cell>
          <cell r="G143" t="str">
            <v>信息综合部</v>
          </cell>
          <cell r="H143" t="str">
            <v>算法与协议软件工程师</v>
          </cell>
          <cell r="I143" t="str">
            <v>奚凯</v>
          </cell>
          <cell r="J143" t="str">
            <v>B</v>
          </cell>
          <cell r="K143" t="str">
            <v>B</v>
          </cell>
          <cell r="L143" t="str">
            <v>B</v>
          </cell>
          <cell r="M143" t="str">
            <v>符合</v>
          </cell>
          <cell r="N143" t="str">
            <v>4-2</v>
          </cell>
        </row>
        <row r="144">
          <cell r="B144" t="str">
            <v>张安曌</v>
          </cell>
          <cell r="C144" t="str">
            <v>张安曌</v>
          </cell>
          <cell r="D144" t="str">
            <v>男</v>
          </cell>
          <cell r="E144">
            <v>45446</v>
          </cell>
          <cell r="F144" t="str">
            <v>载荷毫米波部</v>
          </cell>
          <cell r="G144" t="str">
            <v>信息综合部</v>
          </cell>
          <cell r="H144" t="str">
            <v>系统测试工程师</v>
          </cell>
          <cell r="I144" t="str">
            <v>奚凯</v>
          </cell>
          <cell r="J144" t="str">
            <v>-</v>
          </cell>
          <cell r="K144" t="str">
            <v>B</v>
          </cell>
          <cell r="L144" t="str">
            <v>B+</v>
          </cell>
          <cell r="M144" t="str">
            <v>符合</v>
          </cell>
          <cell r="N144" t="str">
            <v>4-2</v>
          </cell>
        </row>
        <row r="145">
          <cell r="B145" t="str">
            <v>高宇</v>
          </cell>
          <cell r="C145" t="str">
            <v>高宇</v>
          </cell>
          <cell r="D145" t="str">
            <v>男</v>
          </cell>
          <cell r="E145">
            <v>45579</v>
          </cell>
          <cell r="F145" t="str">
            <v>载荷毫米波部</v>
          </cell>
          <cell r="G145" t="str">
            <v>信息综合部</v>
          </cell>
          <cell r="H145" t="str">
            <v>系统测试工程师</v>
          </cell>
          <cell r="I145" t="str">
            <v>奚凯</v>
          </cell>
          <cell r="J145" t="str">
            <v>-</v>
          </cell>
          <cell r="K145" t="str">
            <v>B</v>
          </cell>
          <cell r="L145" t="str">
            <v>B</v>
          </cell>
          <cell r="M145" t="str">
            <v>符合</v>
          </cell>
          <cell r="N145" t="str">
            <v>4-2</v>
          </cell>
        </row>
        <row r="146">
          <cell r="B146" t="str">
            <v>赵欢</v>
          </cell>
          <cell r="C146" t="str">
            <v>赵欢</v>
          </cell>
          <cell r="D146" t="str">
            <v>女</v>
          </cell>
          <cell r="E146">
            <v>45579</v>
          </cell>
          <cell r="F146" t="str">
            <v>载荷毫米波部</v>
          </cell>
          <cell r="G146" t="str">
            <v>信息综合部</v>
          </cell>
          <cell r="H146" t="str">
            <v>系统测试工程师</v>
          </cell>
          <cell r="I146" t="str">
            <v>奚凯</v>
          </cell>
          <cell r="J146" t="str">
            <v>-</v>
          </cell>
          <cell r="K146" t="str">
            <v>B</v>
          </cell>
          <cell r="L146" t="str">
            <v>B+</v>
          </cell>
          <cell r="M146" t="str">
            <v>符合</v>
          </cell>
          <cell r="N146" t="str">
            <v>4-2</v>
          </cell>
        </row>
        <row r="147">
          <cell r="B147" t="str">
            <v>马朝阳</v>
          </cell>
          <cell r="C147" t="str">
            <v>马朝阳</v>
          </cell>
          <cell r="D147" t="str">
            <v>女</v>
          </cell>
          <cell r="E147">
            <v>44755</v>
          </cell>
          <cell r="F147" t="str">
            <v>载荷毫米波部</v>
          </cell>
          <cell r="G147" t="str">
            <v>载荷单机产品组</v>
          </cell>
          <cell r="H147" t="str">
            <v>热设计工程师</v>
          </cell>
          <cell r="I147" t="str">
            <v>许智</v>
          </cell>
          <cell r="J147" t="str">
            <v>B</v>
          </cell>
          <cell r="K147" t="str">
            <v>C</v>
          </cell>
          <cell r="L147" t="str">
            <v>B</v>
          </cell>
        </row>
        <row r="147">
          <cell r="N147" t="e">
            <v>#N/A</v>
          </cell>
        </row>
        <row r="148">
          <cell r="B148" t="str">
            <v>姜子涵</v>
          </cell>
          <cell r="C148" t="str">
            <v>姜子涵</v>
          </cell>
          <cell r="D148" t="str">
            <v>男</v>
          </cell>
          <cell r="E148">
            <v>45553</v>
          </cell>
          <cell r="F148" t="str">
            <v>载荷毫米波部</v>
          </cell>
          <cell r="G148" t="str">
            <v>载荷单机产品组</v>
          </cell>
          <cell r="H148" t="str">
            <v>产品工程师</v>
          </cell>
          <cell r="I148" t="str">
            <v>菊卫东</v>
          </cell>
          <cell r="J148" t="str">
            <v>-</v>
          </cell>
          <cell r="K148" t="str">
            <v>B</v>
          </cell>
          <cell r="L148" t="str">
            <v>B</v>
          </cell>
        </row>
        <row r="148">
          <cell r="N148" t="e">
            <v>#N/A</v>
          </cell>
        </row>
        <row r="149">
          <cell r="B149" t="str">
            <v>陈丞</v>
          </cell>
          <cell r="C149" t="str">
            <v>陈丞</v>
          </cell>
          <cell r="D149" t="str">
            <v>男</v>
          </cell>
          <cell r="E149">
            <v>45839</v>
          </cell>
          <cell r="F149" t="str">
            <v>载荷毫米波部</v>
          </cell>
          <cell r="G149" t="str">
            <v>载荷单机产品组</v>
          </cell>
          <cell r="H149" t="str">
            <v>天线工程师</v>
          </cell>
          <cell r="I149" t="str">
            <v>许智</v>
          </cell>
          <cell r="J149" t="str">
            <v>-</v>
          </cell>
          <cell r="K149" t="str">
            <v>-</v>
          </cell>
          <cell r="L149" t="str">
            <v>-</v>
          </cell>
        </row>
        <row r="149">
          <cell r="N149" t="e">
            <v>#N/A</v>
          </cell>
        </row>
        <row r="150">
          <cell r="B150" t="str">
            <v>任静博</v>
          </cell>
          <cell r="C150" t="str">
            <v>任静博</v>
          </cell>
          <cell r="D150" t="str">
            <v>男</v>
          </cell>
          <cell r="E150">
            <v>45859</v>
          </cell>
          <cell r="F150" t="str">
            <v>载荷毫米波部</v>
          </cell>
          <cell r="G150" t="str">
            <v>载荷单机产品组</v>
          </cell>
          <cell r="H150" t="str">
            <v>力设计工程师</v>
          </cell>
          <cell r="I150" t="str">
            <v>许智</v>
          </cell>
          <cell r="J150" t="str">
            <v>-</v>
          </cell>
          <cell r="K150" t="str">
            <v>-</v>
          </cell>
          <cell r="L150" t="str">
            <v>-</v>
          </cell>
        </row>
        <row r="150">
          <cell r="N150" t="e">
            <v>#N/A</v>
          </cell>
        </row>
        <row r="151">
          <cell r="B151" t="str">
            <v>许智</v>
          </cell>
          <cell r="C151" t="str">
            <v>许智</v>
          </cell>
          <cell r="D151" t="str">
            <v>男</v>
          </cell>
          <cell r="E151">
            <v>43494</v>
          </cell>
          <cell r="F151" t="str">
            <v>载荷毫米波部</v>
          </cell>
          <cell r="G151" t="str">
            <v>载荷单机产品组</v>
          </cell>
          <cell r="H151" t="str">
            <v>天线工程师</v>
          </cell>
          <cell r="I151" t="str">
            <v>朱正贤</v>
          </cell>
          <cell r="J151" t="str">
            <v>B</v>
          </cell>
          <cell r="K151" t="str">
            <v>B</v>
          </cell>
          <cell r="L151" t="str">
            <v>B</v>
          </cell>
        </row>
        <row r="151">
          <cell r="N151" t="str">
            <v>推荐6级</v>
          </cell>
        </row>
        <row r="152">
          <cell r="B152" t="str">
            <v>菊卫东</v>
          </cell>
          <cell r="C152" t="str">
            <v>菊卫东</v>
          </cell>
          <cell r="D152" t="str">
            <v>男</v>
          </cell>
          <cell r="E152">
            <v>43556</v>
          </cell>
          <cell r="F152" t="str">
            <v>载荷毫米波部</v>
          </cell>
          <cell r="G152" t="str">
            <v>载荷单机产品组</v>
          </cell>
          <cell r="H152" t="str">
            <v>有源射频工程师</v>
          </cell>
          <cell r="I152" t="str">
            <v>许智</v>
          </cell>
          <cell r="J152" t="str">
            <v>B</v>
          </cell>
          <cell r="K152" t="str">
            <v>B</v>
          </cell>
          <cell r="L152" t="str">
            <v>B</v>
          </cell>
        </row>
        <row r="152">
          <cell r="N152" t="str">
            <v>推荐6级</v>
          </cell>
        </row>
        <row r="153">
          <cell r="B153" t="str">
            <v>张学刚</v>
          </cell>
          <cell r="C153" t="str">
            <v>张学刚</v>
          </cell>
          <cell r="D153" t="str">
            <v>男</v>
          </cell>
          <cell r="E153">
            <v>43775</v>
          </cell>
          <cell r="F153" t="str">
            <v>载荷毫米波部</v>
          </cell>
          <cell r="G153" t="str">
            <v>载荷单机产品组</v>
          </cell>
          <cell r="H153" t="str">
            <v>结构工程师</v>
          </cell>
          <cell r="I153" t="str">
            <v>许智</v>
          </cell>
          <cell r="J153" t="str">
            <v>B+</v>
          </cell>
          <cell r="K153" t="str">
            <v>S</v>
          </cell>
          <cell r="L153" t="str">
            <v>B+</v>
          </cell>
        </row>
        <row r="153">
          <cell r="N153" t="str">
            <v>推荐6级</v>
          </cell>
        </row>
        <row r="154">
          <cell r="B154" t="str">
            <v>弓金刚</v>
          </cell>
          <cell r="C154" t="str">
            <v>弓金刚</v>
          </cell>
          <cell r="D154" t="str">
            <v>男</v>
          </cell>
          <cell r="E154">
            <v>44341</v>
          </cell>
          <cell r="F154" t="str">
            <v>载荷毫米波部</v>
          </cell>
          <cell r="G154" t="str">
            <v>载荷单机产品组</v>
          </cell>
          <cell r="H154" t="str">
            <v>天线工程师</v>
          </cell>
          <cell r="I154" t="str">
            <v>许智</v>
          </cell>
          <cell r="J154" t="str">
            <v>B+</v>
          </cell>
          <cell r="K154" t="str">
            <v>B</v>
          </cell>
          <cell r="L154" t="str">
            <v>B+</v>
          </cell>
        </row>
        <row r="154">
          <cell r="N154" t="str">
            <v>推荐6级</v>
          </cell>
        </row>
        <row r="155">
          <cell r="B155" t="str">
            <v>徐进</v>
          </cell>
          <cell r="C155" t="str">
            <v>徐进</v>
          </cell>
          <cell r="D155" t="str">
            <v>男</v>
          </cell>
          <cell r="E155">
            <v>43525</v>
          </cell>
          <cell r="F155" t="str">
            <v>载荷毫米波部</v>
          </cell>
          <cell r="G155" t="str">
            <v>载荷单机产品组</v>
          </cell>
          <cell r="H155" t="str">
            <v>结构工程师</v>
          </cell>
          <cell r="I155" t="str">
            <v>许智</v>
          </cell>
          <cell r="J155" t="str">
            <v>B</v>
          </cell>
          <cell r="K155" t="str">
            <v>A</v>
          </cell>
          <cell r="L155" t="str">
            <v>B+</v>
          </cell>
        </row>
        <row r="155">
          <cell r="N155" t="str">
            <v>5-3</v>
          </cell>
        </row>
        <row r="156">
          <cell r="B156" t="str">
            <v>栾潇</v>
          </cell>
          <cell r="C156" t="str">
            <v>栾潇</v>
          </cell>
          <cell r="D156" t="str">
            <v>男</v>
          </cell>
          <cell r="E156">
            <v>43414</v>
          </cell>
          <cell r="F156" t="str">
            <v>载荷毫米波部</v>
          </cell>
          <cell r="G156" t="str">
            <v>载荷单机产品组</v>
          </cell>
          <cell r="H156" t="str">
            <v>有源射频工程师</v>
          </cell>
          <cell r="I156" t="str">
            <v>菊卫东</v>
          </cell>
          <cell r="J156" t="str">
            <v>B</v>
          </cell>
          <cell r="K156" t="str">
            <v>B</v>
          </cell>
          <cell r="L156" t="str">
            <v>B</v>
          </cell>
          <cell r="M156" t="str">
            <v>符合</v>
          </cell>
          <cell r="N156" t="str">
            <v>5-1</v>
          </cell>
        </row>
        <row r="157">
          <cell r="B157" t="str">
            <v>武宁宁</v>
          </cell>
          <cell r="C157" t="str">
            <v>武宁宁</v>
          </cell>
          <cell r="D157" t="str">
            <v>男</v>
          </cell>
          <cell r="E157">
            <v>44305</v>
          </cell>
          <cell r="F157" t="str">
            <v>载荷毫米波部</v>
          </cell>
          <cell r="G157" t="str">
            <v>载荷单机产品组</v>
          </cell>
          <cell r="H157" t="str">
            <v>平台硬件工程师</v>
          </cell>
          <cell r="I157" t="str">
            <v>菊卫东</v>
          </cell>
          <cell r="J157" t="str">
            <v>A</v>
          </cell>
          <cell r="K157" t="str">
            <v>A</v>
          </cell>
          <cell r="L157" t="str">
            <v>B</v>
          </cell>
          <cell r="M157" t="str">
            <v>符合</v>
          </cell>
          <cell r="N157" t="str">
            <v>5-1</v>
          </cell>
        </row>
        <row r="158">
          <cell r="B158" t="str">
            <v>唐国荣</v>
          </cell>
          <cell r="C158" t="str">
            <v>唐国荣</v>
          </cell>
          <cell r="D158" t="str">
            <v>男</v>
          </cell>
          <cell r="E158">
            <v>44375</v>
          </cell>
          <cell r="F158" t="str">
            <v>载荷毫米波部</v>
          </cell>
          <cell r="G158" t="str">
            <v>载荷单机产品组</v>
          </cell>
          <cell r="H158" t="str">
            <v>有源射频工程师</v>
          </cell>
          <cell r="I158" t="str">
            <v>菊卫东</v>
          </cell>
          <cell r="J158" t="str">
            <v>A</v>
          </cell>
          <cell r="K158" t="str">
            <v>B</v>
          </cell>
          <cell r="L158" t="str">
            <v>B+</v>
          </cell>
          <cell r="M158" t="str">
            <v>符合</v>
          </cell>
          <cell r="N158" t="str">
            <v>5-1</v>
          </cell>
        </row>
        <row r="159">
          <cell r="B159" t="str">
            <v>严思哲</v>
          </cell>
          <cell r="C159" t="str">
            <v>严思哲</v>
          </cell>
          <cell r="D159" t="str">
            <v>男</v>
          </cell>
          <cell r="E159">
            <v>45054</v>
          </cell>
          <cell r="F159" t="str">
            <v>载荷毫米波部</v>
          </cell>
          <cell r="G159" t="str">
            <v>载荷单机产品组</v>
          </cell>
          <cell r="H159" t="str">
            <v>平台硬件工程师</v>
          </cell>
          <cell r="I159" t="str">
            <v>菊卫东</v>
          </cell>
          <cell r="J159" t="str">
            <v>B</v>
          </cell>
          <cell r="K159" t="str">
            <v>A</v>
          </cell>
          <cell r="L159" t="str">
            <v>B</v>
          </cell>
          <cell r="M159" t="str">
            <v>符合</v>
          </cell>
          <cell r="N159" t="str">
            <v>5-1</v>
          </cell>
        </row>
        <row r="160">
          <cell r="B160" t="str">
            <v>陈月</v>
          </cell>
          <cell r="C160" t="str">
            <v>陈月</v>
          </cell>
          <cell r="D160" t="str">
            <v>女</v>
          </cell>
          <cell r="E160">
            <v>45069</v>
          </cell>
          <cell r="F160" t="str">
            <v>载荷毫米波部</v>
          </cell>
          <cell r="G160" t="str">
            <v>载荷单机产品组</v>
          </cell>
          <cell r="H160" t="str">
            <v>平台硬件工程师</v>
          </cell>
          <cell r="I160" t="str">
            <v>菊卫东</v>
          </cell>
          <cell r="J160" t="str">
            <v>B+</v>
          </cell>
          <cell r="K160" t="str">
            <v>B</v>
          </cell>
          <cell r="L160" t="str">
            <v>A</v>
          </cell>
          <cell r="M160" t="str">
            <v>符合</v>
          </cell>
          <cell r="N160" t="str">
            <v>5-1</v>
          </cell>
        </row>
        <row r="161">
          <cell r="B161" t="str">
            <v>李奇</v>
          </cell>
          <cell r="C161" t="str">
            <v>李奇</v>
          </cell>
          <cell r="D161" t="str">
            <v>男</v>
          </cell>
          <cell r="E161">
            <v>43801</v>
          </cell>
          <cell r="F161" t="str">
            <v>载荷毫米波部</v>
          </cell>
          <cell r="G161" t="str">
            <v>载荷单机产品组</v>
          </cell>
          <cell r="H161" t="str">
            <v>结构工程师</v>
          </cell>
          <cell r="I161" t="str">
            <v>许智</v>
          </cell>
          <cell r="J161" t="str">
            <v>B</v>
          </cell>
          <cell r="K161" t="str">
            <v>B</v>
          </cell>
          <cell r="L161" t="str">
            <v>B</v>
          </cell>
          <cell r="M161" t="str">
            <v>不符合</v>
          </cell>
          <cell r="N161" t="str">
            <v>4-3</v>
          </cell>
        </row>
        <row r="162">
          <cell r="B162" t="str">
            <v>王博</v>
          </cell>
          <cell r="C162" t="str">
            <v>王博</v>
          </cell>
          <cell r="D162" t="str">
            <v>男</v>
          </cell>
          <cell r="E162">
            <v>43850</v>
          </cell>
          <cell r="F162" t="str">
            <v>载荷毫米波部</v>
          </cell>
          <cell r="G162" t="str">
            <v>载荷单机产品组</v>
          </cell>
          <cell r="H162" t="str">
            <v>有源射频工程师</v>
          </cell>
          <cell r="I162" t="str">
            <v>菊卫东</v>
          </cell>
          <cell r="J162" t="str">
            <v>B</v>
          </cell>
          <cell r="K162" t="str">
            <v>B</v>
          </cell>
          <cell r="L162" t="str">
            <v>B</v>
          </cell>
          <cell r="M162" t="str">
            <v>不符合</v>
          </cell>
          <cell r="N162" t="str">
            <v>4-3</v>
          </cell>
        </row>
        <row r="163">
          <cell r="B163" t="str">
            <v>王卫</v>
          </cell>
          <cell r="C163" t="str">
            <v>王卫</v>
          </cell>
          <cell r="D163" t="str">
            <v>男</v>
          </cell>
          <cell r="E163">
            <v>45029</v>
          </cell>
          <cell r="F163" t="str">
            <v>载荷毫米波部</v>
          </cell>
          <cell r="G163" t="str">
            <v>载荷单机产品组</v>
          </cell>
          <cell r="H163" t="str">
            <v>天线工程师</v>
          </cell>
          <cell r="I163" t="str">
            <v>许智</v>
          </cell>
          <cell r="J163" t="str">
            <v>B+</v>
          </cell>
          <cell r="K163" t="str">
            <v>B</v>
          </cell>
          <cell r="L163" t="str">
            <v>B</v>
          </cell>
          <cell r="M163" t="str">
            <v>不符合</v>
          </cell>
          <cell r="N163" t="str">
            <v>4-3</v>
          </cell>
        </row>
        <row r="164">
          <cell r="B164" t="str">
            <v>华璐</v>
          </cell>
          <cell r="C164" t="str">
            <v>华璐</v>
          </cell>
          <cell r="D164" t="str">
            <v>男</v>
          </cell>
          <cell r="E164">
            <v>45439</v>
          </cell>
          <cell r="F164" t="str">
            <v>载荷毫米波部</v>
          </cell>
          <cell r="G164" t="str">
            <v>载荷单机产品组</v>
          </cell>
          <cell r="H164" t="str">
            <v>算法与协议软件工程师</v>
          </cell>
          <cell r="I164" t="str">
            <v>菊卫东</v>
          </cell>
          <cell r="J164" t="str">
            <v>-</v>
          </cell>
          <cell r="K164" t="str">
            <v>B</v>
          </cell>
          <cell r="L164" t="str">
            <v>B</v>
          </cell>
          <cell r="M164" t="str">
            <v>不符合</v>
          </cell>
          <cell r="N164" t="str">
            <v>4-3</v>
          </cell>
        </row>
        <row r="165">
          <cell r="B165" t="str">
            <v>林佳曼</v>
          </cell>
          <cell r="C165" t="str">
            <v>林佳曼</v>
          </cell>
          <cell r="D165" t="str">
            <v>女</v>
          </cell>
          <cell r="E165">
            <v>44382</v>
          </cell>
          <cell r="F165" t="str">
            <v>载荷毫米波部</v>
          </cell>
          <cell r="G165" t="str">
            <v>载荷单机产品组</v>
          </cell>
          <cell r="H165" t="str">
            <v>天线工程师</v>
          </cell>
          <cell r="I165" t="str">
            <v>许智</v>
          </cell>
          <cell r="J165" t="str">
            <v>B+</v>
          </cell>
          <cell r="K165" t="str">
            <v>B</v>
          </cell>
          <cell r="L165" t="str">
            <v>B</v>
          </cell>
          <cell r="M165" t="str">
            <v>符合</v>
          </cell>
          <cell r="N165" t="str">
            <v>4-2</v>
          </cell>
        </row>
        <row r="166">
          <cell r="B166" t="str">
            <v>李政</v>
          </cell>
          <cell r="C166" t="str">
            <v>李政</v>
          </cell>
          <cell r="D166" t="str">
            <v>男</v>
          </cell>
          <cell r="E166">
            <v>45383</v>
          </cell>
          <cell r="F166" t="str">
            <v>载荷毫米波部</v>
          </cell>
          <cell r="G166" t="str">
            <v>载荷单机产品组</v>
          </cell>
          <cell r="H166" t="str">
            <v>有源射频工程师</v>
          </cell>
          <cell r="I166" t="str">
            <v>菊卫东</v>
          </cell>
          <cell r="J166" t="str">
            <v>B</v>
          </cell>
          <cell r="K166" t="str">
            <v>C</v>
          </cell>
          <cell r="L166" t="str">
            <v>B</v>
          </cell>
          <cell r="M166" t="str">
            <v>不符合</v>
          </cell>
          <cell r="N166" t="str">
            <v>4-1</v>
          </cell>
        </row>
        <row r="167">
          <cell r="B167" t="str">
            <v>白张龙</v>
          </cell>
          <cell r="C167" t="str">
            <v>白张龙</v>
          </cell>
          <cell r="D167" t="str">
            <v>男</v>
          </cell>
          <cell r="E167">
            <v>44747</v>
          </cell>
          <cell r="F167" t="str">
            <v>载荷毫米波部</v>
          </cell>
          <cell r="G167" t="str">
            <v>载荷单机产品组</v>
          </cell>
          <cell r="H167" t="str">
            <v>天线工程师</v>
          </cell>
          <cell r="I167" t="str">
            <v>许智</v>
          </cell>
          <cell r="J167" t="str">
            <v>B</v>
          </cell>
          <cell r="K167" t="str">
            <v>B</v>
          </cell>
          <cell r="L167" t="str">
            <v>B</v>
          </cell>
          <cell r="M167" t="str">
            <v>不符合</v>
          </cell>
          <cell r="N167" t="str">
            <v>3-3</v>
          </cell>
        </row>
        <row r="168">
          <cell r="B168" t="str">
            <v>黑嘉炜</v>
          </cell>
          <cell r="C168" t="str">
            <v>黑嘉炜</v>
          </cell>
          <cell r="D168" t="str">
            <v>男</v>
          </cell>
          <cell r="E168">
            <v>45397</v>
          </cell>
          <cell r="F168" t="str">
            <v>载荷毫米波部</v>
          </cell>
          <cell r="G168" t="str">
            <v>载荷单机产品组</v>
          </cell>
          <cell r="H168" t="str">
            <v>有源射频工程师</v>
          </cell>
          <cell r="I168" t="str">
            <v>菊卫东</v>
          </cell>
          <cell r="J168" t="str">
            <v>B</v>
          </cell>
          <cell r="K168" t="str">
            <v>B</v>
          </cell>
          <cell r="L168" t="str">
            <v>B</v>
          </cell>
          <cell r="M168" t="str">
            <v>符合</v>
          </cell>
          <cell r="N168" t="str">
            <v>3-1</v>
          </cell>
        </row>
        <row r="169">
          <cell r="B169" t="str">
            <v>王佳乐</v>
          </cell>
          <cell r="C169" t="str">
            <v>王佳乐</v>
          </cell>
          <cell r="D169" t="str">
            <v>女</v>
          </cell>
          <cell r="E169">
            <v>45474</v>
          </cell>
          <cell r="F169" t="str">
            <v>载荷毫米波部</v>
          </cell>
          <cell r="G169" t="str">
            <v>载荷单机产品组</v>
          </cell>
          <cell r="H169" t="str">
            <v>天线工程师</v>
          </cell>
          <cell r="I169" t="str">
            <v>许智</v>
          </cell>
          <cell r="J169" t="str">
            <v>-</v>
          </cell>
          <cell r="K169" t="str">
            <v>B</v>
          </cell>
          <cell r="L169" t="str">
            <v>B</v>
          </cell>
          <cell r="M169" t="str">
            <v>符合</v>
          </cell>
          <cell r="N169" t="str">
            <v>3-1</v>
          </cell>
        </row>
        <row r="170">
          <cell r="B170" t="str">
            <v>许硕</v>
          </cell>
          <cell r="C170" t="str">
            <v>许硕</v>
          </cell>
          <cell r="D170" t="str">
            <v>男</v>
          </cell>
          <cell r="E170">
            <v>45474</v>
          </cell>
          <cell r="F170" t="str">
            <v>载荷毫米波部</v>
          </cell>
          <cell r="G170" t="str">
            <v>载荷单机产品组</v>
          </cell>
          <cell r="H170" t="str">
            <v>算法与协议软件工程师</v>
          </cell>
          <cell r="I170" t="str">
            <v>许智</v>
          </cell>
          <cell r="J170" t="str">
            <v>-</v>
          </cell>
          <cell r="K170" t="str">
            <v>B</v>
          </cell>
          <cell r="L170" t="str">
            <v>B</v>
          </cell>
          <cell r="M170" t="str">
            <v>符合</v>
          </cell>
          <cell r="N170" t="str">
            <v>3-1</v>
          </cell>
        </row>
        <row r="171">
          <cell r="B171" t="str">
            <v>李军</v>
          </cell>
          <cell r="C171" t="str">
            <v>李军</v>
          </cell>
          <cell r="D171" t="str">
            <v>男</v>
          </cell>
          <cell r="E171">
            <v>44219</v>
          </cell>
          <cell r="F171" t="str">
            <v>载荷毫米波部</v>
          </cell>
          <cell r="G171" t="str">
            <v>载荷集成组</v>
          </cell>
          <cell r="H171" t="str">
            <v>天线测试工程师</v>
          </cell>
          <cell r="I171" t="str">
            <v>丁奔</v>
          </cell>
          <cell r="J171" t="str">
            <v>B</v>
          </cell>
          <cell r="K171" t="str">
            <v>B</v>
          </cell>
          <cell r="L171" t="str">
            <v>B</v>
          </cell>
        </row>
        <row r="171">
          <cell r="N171" t="e">
            <v>#N/A</v>
          </cell>
        </row>
        <row r="172">
          <cell r="B172" t="str">
            <v>李雪强</v>
          </cell>
          <cell r="C172" t="str">
            <v>李雪强</v>
          </cell>
          <cell r="D172" t="str">
            <v>男</v>
          </cell>
          <cell r="E172">
            <v>44805</v>
          </cell>
          <cell r="F172" t="str">
            <v>载荷毫米波部</v>
          </cell>
          <cell r="G172" t="str">
            <v>载荷集成组</v>
          </cell>
          <cell r="H172" t="str">
            <v>天线测试工程师</v>
          </cell>
          <cell r="I172" t="str">
            <v>丁奔</v>
          </cell>
          <cell r="J172" t="str">
            <v>B+</v>
          </cell>
          <cell r="K172" t="str">
            <v>B</v>
          </cell>
          <cell r="L172" t="str">
            <v>B</v>
          </cell>
        </row>
        <row r="172">
          <cell r="N172" t="e">
            <v>#N/A</v>
          </cell>
        </row>
        <row r="173">
          <cell r="B173" t="str">
            <v>白建峰</v>
          </cell>
          <cell r="C173" t="str">
            <v>白建峰</v>
          </cell>
          <cell r="D173" t="str">
            <v>男</v>
          </cell>
          <cell r="E173">
            <v>44958</v>
          </cell>
          <cell r="F173" t="str">
            <v>载荷毫米波部</v>
          </cell>
          <cell r="G173" t="str">
            <v>载荷集成组</v>
          </cell>
          <cell r="H173" t="str">
            <v>整机工艺工程师</v>
          </cell>
          <cell r="I173" t="str">
            <v>丁奔</v>
          </cell>
          <cell r="J173" t="str">
            <v>B+</v>
          </cell>
          <cell r="K173" t="str">
            <v>B</v>
          </cell>
          <cell r="L173" t="str">
            <v>B+</v>
          </cell>
        </row>
        <row r="173">
          <cell r="N173" t="e">
            <v>#N/A</v>
          </cell>
        </row>
        <row r="174">
          <cell r="B174" t="str">
            <v>王永杰</v>
          </cell>
          <cell r="C174" t="str">
            <v>王永杰</v>
          </cell>
          <cell r="D174" t="str">
            <v>男</v>
          </cell>
          <cell r="E174">
            <v>44981</v>
          </cell>
          <cell r="F174" t="str">
            <v>载荷毫米波部</v>
          </cell>
          <cell r="G174" t="str">
            <v>载荷集成组</v>
          </cell>
          <cell r="H174" t="str">
            <v>天线测试工程师</v>
          </cell>
          <cell r="I174" t="str">
            <v>丁奔</v>
          </cell>
          <cell r="J174" t="str">
            <v>B</v>
          </cell>
          <cell r="K174" t="str">
            <v>B</v>
          </cell>
          <cell r="L174" t="str">
            <v>B</v>
          </cell>
        </row>
        <row r="174">
          <cell r="N174" t="e">
            <v>#N/A</v>
          </cell>
        </row>
        <row r="175">
          <cell r="B175" t="str">
            <v>刘浩</v>
          </cell>
          <cell r="C175" t="str">
            <v>刘浩</v>
          </cell>
          <cell r="D175" t="str">
            <v>男</v>
          </cell>
          <cell r="E175">
            <v>45006</v>
          </cell>
          <cell r="F175" t="str">
            <v>载荷毫米波部</v>
          </cell>
          <cell r="G175" t="str">
            <v>载荷集成组</v>
          </cell>
          <cell r="H175" t="str">
            <v>天线测试工程师</v>
          </cell>
          <cell r="I175" t="str">
            <v>丁奔</v>
          </cell>
          <cell r="J175" t="str">
            <v>B</v>
          </cell>
          <cell r="K175" t="str">
            <v>B</v>
          </cell>
          <cell r="L175" t="str">
            <v>B</v>
          </cell>
        </row>
        <row r="175">
          <cell r="N175" t="e">
            <v>#N/A</v>
          </cell>
        </row>
        <row r="176">
          <cell r="B176" t="str">
            <v>梁家辉</v>
          </cell>
          <cell r="C176" t="str">
            <v>梁家辉</v>
          </cell>
          <cell r="D176" t="str">
            <v>男</v>
          </cell>
          <cell r="E176">
            <v>45910</v>
          </cell>
          <cell r="F176" t="str">
            <v>载荷毫米波部</v>
          </cell>
          <cell r="G176" t="str">
            <v>载荷集成组</v>
          </cell>
          <cell r="H176" t="str">
            <v>整机工艺工程师</v>
          </cell>
          <cell r="I176" t="str">
            <v>丁奔</v>
          </cell>
          <cell r="J176" t="str">
            <v>-</v>
          </cell>
          <cell r="K176" t="str">
            <v>-</v>
          </cell>
          <cell r="L176" t="str">
            <v>-</v>
          </cell>
        </row>
        <row r="176">
          <cell r="N176" t="e">
            <v>#N/A</v>
          </cell>
        </row>
        <row r="177">
          <cell r="B177" t="str">
            <v>丁奔</v>
          </cell>
          <cell r="C177" t="str">
            <v>丁奔</v>
          </cell>
          <cell r="D177" t="str">
            <v>男</v>
          </cell>
          <cell r="E177">
            <v>44278</v>
          </cell>
          <cell r="F177" t="str">
            <v>载荷毫米波部</v>
          </cell>
          <cell r="G177" t="str">
            <v>载荷集成组</v>
          </cell>
          <cell r="H177" t="str">
            <v>结构工程师</v>
          </cell>
          <cell r="I177" t="str">
            <v>朱正贤</v>
          </cell>
          <cell r="J177" t="str">
            <v>B</v>
          </cell>
          <cell r="K177" t="str">
            <v>B</v>
          </cell>
          <cell r="L177" t="str">
            <v>B</v>
          </cell>
          <cell r="M177" t="str">
            <v>符合</v>
          </cell>
          <cell r="N177" t="str">
            <v>5-1</v>
          </cell>
        </row>
        <row r="178">
          <cell r="B178" t="str">
            <v>屈攀</v>
          </cell>
          <cell r="C178" t="str">
            <v>屈攀</v>
          </cell>
          <cell r="D178" t="str">
            <v>男</v>
          </cell>
          <cell r="E178">
            <v>44211</v>
          </cell>
          <cell r="F178" t="str">
            <v>载荷毫米波部</v>
          </cell>
          <cell r="G178" t="str">
            <v>载荷集成组</v>
          </cell>
          <cell r="H178" t="str">
            <v>结构工程师</v>
          </cell>
          <cell r="I178" t="str">
            <v>丁奔</v>
          </cell>
          <cell r="J178" t="str">
            <v>B+</v>
          </cell>
          <cell r="K178" t="str">
            <v>B</v>
          </cell>
          <cell r="L178" t="str">
            <v>A</v>
          </cell>
          <cell r="M178" t="str">
            <v>符合</v>
          </cell>
          <cell r="N178" t="str">
            <v>4-3</v>
          </cell>
        </row>
        <row r="179">
          <cell r="B179" t="str">
            <v>朱峰</v>
          </cell>
          <cell r="C179" t="str">
            <v>朱峰</v>
          </cell>
          <cell r="D179" t="str">
            <v>男</v>
          </cell>
          <cell r="E179">
            <v>44200</v>
          </cell>
          <cell r="F179" t="str">
            <v>载荷毫米波部</v>
          </cell>
          <cell r="G179" t="str">
            <v>载荷集成组</v>
          </cell>
          <cell r="H179" t="str">
            <v>整机工艺工程师</v>
          </cell>
          <cell r="I179" t="str">
            <v>丁奔</v>
          </cell>
          <cell r="J179" t="str">
            <v>B+</v>
          </cell>
          <cell r="K179" t="str">
            <v>B</v>
          </cell>
          <cell r="L179" t="str">
            <v>B+</v>
          </cell>
          <cell r="M179" t="str">
            <v>符合</v>
          </cell>
          <cell r="N179" t="str">
            <v>4-2</v>
          </cell>
        </row>
        <row r="180">
          <cell r="B180" t="str">
            <v>李辉</v>
          </cell>
          <cell r="C180" t="str">
            <v>李辉</v>
          </cell>
          <cell r="D180" t="str">
            <v>男</v>
          </cell>
          <cell r="E180">
            <v>44020</v>
          </cell>
          <cell r="F180" t="str">
            <v>载荷毫米波部</v>
          </cell>
          <cell r="G180" t="str">
            <v>载荷集成组</v>
          </cell>
          <cell r="H180" t="str">
            <v>微封装/单板工艺工程师</v>
          </cell>
          <cell r="I180" t="str">
            <v>丁奔</v>
          </cell>
          <cell r="J180" t="str">
            <v>C</v>
          </cell>
          <cell r="K180" t="str">
            <v>B</v>
          </cell>
          <cell r="L180" t="str">
            <v>B</v>
          </cell>
          <cell r="M180" t="str">
            <v>符合</v>
          </cell>
          <cell r="N180" t="str">
            <v>3-1</v>
          </cell>
        </row>
        <row r="181">
          <cell r="B181" t="str">
            <v>任毅飞</v>
          </cell>
          <cell r="C181" t="str">
            <v>任毅飞</v>
          </cell>
          <cell r="D181" t="str">
            <v>男</v>
          </cell>
          <cell r="E181">
            <v>45783</v>
          </cell>
          <cell r="F181" t="str">
            <v>载荷毫米波部</v>
          </cell>
          <cell r="G181" t="str">
            <v>载荷总体组</v>
          </cell>
          <cell r="H181" t="str">
            <v>系统/整机工程师</v>
          </cell>
          <cell r="I181" t="str">
            <v>左朋</v>
          </cell>
          <cell r="J181" t="str">
            <v>-</v>
          </cell>
          <cell r="K181" t="str">
            <v>-</v>
          </cell>
          <cell r="L181" t="str">
            <v>-</v>
          </cell>
        </row>
        <row r="181">
          <cell r="N181" t="e">
            <v>#N/A</v>
          </cell>
        </row>
        <row r="182">
          <cell r="B182" t="str">
            <v>杨铠烨</v>
          </cell>
          <cell r="C182" t="str">
            <v>杨铠烨</v>
          </cell>
          <cell r="D182" t="str">
            <v>男</v>
          </cell>
          <cell r="E182">
            <v>45944</v>
          </cell>
          <cell r="F182" t="str">
            <v>载荷毫米波部</v>
          </cell>
          <cell r="G182" t="str">
            <v>载荷总体组</v>
          </cell>
          <cell r="H182" t="str">
            <v>系统/整机工程师</v>
          </cell>
          <cell r="I182" t="str">
            <v>左朋</v>
          </cell>
          <cell r="J182" t="str">
            <v>-</v>
          </cell>
          <cell r="K182" t="str">
            <v>-</v>
          </cell>
          <cell r="L182" t="str">
            <v>-</v>
          </cell>
        </row>
        <row r="182">
          <cell r="N182" t="e">
            <v>#N/A</v>
          </cell>
        </row>
        <row r="183">
          <cell r="B183" t="str">
            <v>左朋</v>
          </cell>
          <cell r="C183" t="str">
            <v>左朋</v>
          </cell>
          <cell r="D183" t="str">
            <v>男</v>
          </cell>
          <cell r="E183">
            <v>43222</v>
          </cell>
          <cell r="F183" t="str">
            <v>载荷毫米波部</v>
          </cell>
          <cell r="G183" t="str">
            <v>载荷总体组</v>
          </cell>
          <cell r="H183" t="str">
            <v>系统/整机工程师</v>
          </cell>
          <cell r="I183" t="str">
            <v>朱正贤</v>
          </cell>
          <cell r="J183" t="str">
            <v>B</v>
          </cell>
          <cell r="K183" t="str">
            <v>B</v>
          </cell>
          <cell r="L183" t="str">
            <v>B</v>
          </cell>
        </row>
        <row r="183">
          <cell r="N183" t="str">
            <v>推荐6级</v>
          </cell>
        </row>
        <row r="184">
          <cell r="B184" t="str">
            <v>周博</v>
          </cell>
          <cell r="C184" t="str">
            <v>周博</v>
          </cell>
          <cell r="D184" t="str">
            <v>男</v>
          </cell>
          <cell r="E184">
            <v>43775</v>
          </cell>
          <cell r="F184" t="str">
            <v>载荷毫米波部</v>
          </cell>
          <cell r="G184" t="str">
            <v>载荷总体组</v>
          </cell>
          <cell r="H184" t="str">
            <v>机械总体工程师</v>
          </cell>
          <cell r="I184" t="str">
            <v>左朋</v>
          </cell>
          <cell r="J184" t="str">
            <v>B</v>
          </cell>
          <cell r="K184" t="str">
            <v>B</v>
          </cell>
          <cell r="L184" t="str">
            <v>B+</v>
          </cell>
        </row>
        <row r="184">
          <cell r="N184" t="str">
            <v>5-3</v>
          </cell>
        </row>
        <row r="185">
          <cell r="B185" t="str">
            <v>周钦</v>
          </cell>
          <cell r="C185" t="str">
            <v>周钦</v>
          </cell>
          <cell r="D185" t="str">
            <v>男</v>
          </cell>
          <cell r="E185">
            <v>45901</v>
          </cell>
          <cell r="F185" t="str">
            <v>载荷毫米波部</v>
          </cell>
          <cell r="G185" t="str">
            <v>载荷总体组</v>
          </cell>
          <cell r="H185" t="str">
            <v>系统/整机工程师</v>
          </cell>
          <cell r="I185" t="str">
            <v>左朋</v>
          </cell>
          <cell r="J185" t="str">
            <v>B+</v>
          </cell>
          <cell r="K185" t="str">
            <v>B</v>
          </cell>
          <cell r="L185" t="str">
            <v>B</v>
          </cell>
        </row>
        <row r="185">
          <cell r="N185" t="str">
            <v>5-3</v>
          </cell>
        </row>
        <row r="186">
          <cell r="B186" t="str">
            <v>赵莹</v>
          </cell>
          <cell r="C186" t="str">
            <v>赵莹</v>
          </cell>
          <cell r="D186" t="str">
            <v>女</v>
          </cell>
          <cell r="E186">
            <v>45840</v>
          </cell>
          <cell r="F186" t="str">
            <v>载荷毫米波部</v>
          </cell>
          <cell r="G186" t="str">
            <v>载荷总体组</v>
          </cell>
          <cell r="H186" t="str">
            <v>系统/整机工程师</v>
          </cell>
          <cell r="I186" t="str">
            <v>左朋</v>
          </cell>
          <cell r="J186" t="str">
            <v>-</v>
          </cell>
          <cell r="K186" t="str">
            <v>B</v>
          </cell>
          <cell r="L186" t="str">
            <v>B</v>
          </cell>
          <cell r="M186" t="str">
            <v>符合</v>
          </cell>
          <cell r="N186" t="str">
            <v>5-1</v>
          </cell>
        </row>
        <row r="187">
          <cell r="B187" t="str">
            <v>何广博</v>
          </cell>
          <cell r="C187" t="str">
            <v>何广博</v>
          </cell>
          <cell r="D187" t="str">
            <v>男</v>
          </cell>
          <cell r="E187">
            <v>44256</v>
          </cell>
          <cell r="F187" t="str">
            <v>载荷毫米波部</v>
          </cell>
          <cell r="G187" t="str">
            <v>载荷总体组</v>
          </cell>
          <cell r="H187" t="str">
            <v>机械总体工程师</v>
          </cell>
          <cell r="I187" t="str">
            <v>左朋</v>
          </cell>
          <cell r="J187" t="str">
            <v>B</v>
          </cell>
          <cell r="K187" t="str">
            <v>B</v>
          </cell>
          <cell r="L187" t="str">
            <v>B</v>
          </cell>
          <cell r="M187" t="str">
            <v>不符合</v>
          </cell>
          <cell r="N187" t="str">
            <v>4-3</v>
          </cell>
        </row>
        <row r="188">
          <cell r="B188" t="str">
            <v>樊小毛</v>
          </cell>
          <cell r="C188" t="str">
            <v>樊小毛</v>
          </cell>
          <cell r="D188" t="str">
            <v>男</v>
          </cell>
          <cell r="E188">
            <v>44931</v>
          </cell>
          <cell r="F188" t="str">
            <v>载荷毫米波部</v>
          </cell>
          <cell r="G188" t="str">
            <v>载荷总体组</v>
          </cell>
          <cell r="H188" t="str">
            <v>系统/整机工程师</v>
          </cell>
          <cell r="I188" t="str">
            <v>左朋</v>
          </cell>
          <cell r="J188" t="str">
            <v>B</v>
          </cell>
          <cell r="K188" t="str">
            <v>B</v>
          </cell>
          <cell r="L188" t="str">
            <v>B</v>
          </cell>
          <cell r="M188" t="str">
            <v>不符合</v>
          </cell>
          <cell r="N188" t="str">
            <v>4-3</v>
          </cell>
        </row>
        <row r="189">
          <cell r="B189" t="str">
            <v>关庆元</v>
          </cell>
          <cell r="C189" t="str">
            <v>关庆元</v>
          </cell>
          <cell r="D189" t="str">
            <v>男</v>
          </cell>
          <cell r="E189">
            <v>45427</v>
          </cell>
          <cell r="F189" t="str">
            <v>载荷毫米波部</v>
          </cell>
          <cell r="G189" t="str">
            <v>载荷总体组</v>
          </cell>
          <cell r="H189" t="str">
            <v>系统/整机工程师</v>
          </cell>
          <cell r="I189" t="str">
            <v>左朋</v>
          </cell>
          <cell r="J189" t="str">
            <v>-</v>
          </cell>
          <cell r="K189" t="str">
            <v>B</v>
          </cell>
          <cell r="L189" t="str">
            <v>B</v>
          </cell>
          <cell r="M189" t="str">
            <v>符合</v>
          </cell>
          <cell r="N189" t="str">
            <v>4-2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46"/>
  <sheetViews>
    <sheetView showGridLines="0" tabSelected="1" zoomScale="110" zoomScaleNormal="110" workbookViewId="0">
      <pane xSplit="3" ySplit="1" topLeftCell="D20" activePane="bottomRight" state="frozen"/>
      <selection/>
      <selection pane="topRight"/>
      <selection pane="bottomLeft"/>
      <selection pane="bottomRight" activeCell="C48" sqref="C48"/>
    </sheetView>
  </sheetViews>
  <sheetFormatPr defaultColWidth="9.23333333333333" defaultRowHeight="15.75"/>
  <cols>
    <col min="1" max="1" width="6" customWidth="1"/>
    <col min="2" max="2" width="10.9083333333333" customWidth="1"/>
    <col min="3" max="3" width="9" customWidth="1"/>
    <col min="4" max="4" width="10.5833333333333" customWidth="1"/>
    <col min="5" max="5" width="4.35" customWidth="1"/>
    <col min="6" max="6" width="10.0583333333333" customWidth="1"/>
    <col min="7" max="7" width="15.7" customWidth="1"/>
    <col min="8" max="8" width="9" customWidth="1"/>
    <col min="9" max="9" width="14" customWidth="1"/>
    <col min="10" max="10" width="12.2916666666667" customWidth="1"/>
    <col min="11" max="11" width="7.46666666666667" customWidth="1"/>
    <col min="12" max="12" width="17.35" customWidth="1"/>
    <col min="13" max="13" width="32.375" style="3" customWidth="1"/>
    <col min="14" max="14" width="7.46666666666667" customWidth="1"/>
    <col min="15" max="15" width="16.25" customWidth="1"/>
    <col min="16" max="17" width="10.625" style="3" customWidth="1"/>
    <col min="18" max="18" width="18.375" customWidth="1"/>
    <col min="19" max="19" width="15" customWidth="1"/>
    <col min="20" max="20" width="15.875" customWidth="1"/>
    <col min="21" max="21" width="15.625" customWidth="1"/>
    <col min="22" max="22" width="21.75" customWidth="1"/>
    <col min="23" max="23" width="11.25" customWidth="1"/>
    <col min="24" max="24" width="17.25" style="3" customWidth="1"/>
    <col min="25" max="25" width="14.375" customWidth="1"/>
    <col min="26" max="28" width="7.46666666666667" customWidth="1"/>
    <col min="29" max="29" width="5.56666666666667" customWidth="1"/>
    <col min="30" max="30" width="10.375" customWidth="1"/>
    <col min="31" max="31" width="10.0583333333333" customWidth="1"/>
    <col min="32" max="32" width="18.7583333333333" customWidth="1"/>
    <col min="33" max="33" width="32.5833333333333" customWidth="1"/>
    <col min="34" max="34" width="19.7" customWidth="1"/>
    <col min="35" max="36" width="4.35" customWidth="1"/>
    <col min="37" max="37" width="24.175" customWidth="1"/>
    <col min="38" max="38" width="29.2333333333333" customWidth="1"/>
    <col min="39" max="39" width="9" customWidth="1"/>
    <col min="40" max="40" width="50.525" customWidth="1"/>
    <col min="41" max="41" width="53.0583333333333" customWidth="1"/>
    <col min="42" max="42" width="27.525" customWidth="1"/>
    <col min="43" max="43" width="5.94166666666667" customWidth="1"/>
    <col min="44" max="44" width="7.46666666666667" customWidth="1"/>
    <col min="45" max="45" width="11.35" customWidth="1"/>
    <col min="46" max="46" width="12.2916666666667" customWidth="1"/>
    <col min="47" max="47" width="11.5833333333333" customWidth="1"/>
    <col min="48" max="48" width="21.5833333333333" customWidth="1"/>
    <col min="49" max="49" width="10.5833333333333" customWidth="1"/>
    <col min="50" max="50" width="17.75" customWidth="1"/>
    <col min="51" max="51" width="10.0583333333333" customWidth="1"/>
    <col min="52" max="52" width="4.35" customWidth="1"/>
    <col min="53" max="53" width="7.875" customWidth="1"/>
    <col min="54" max="54" width="5.94166666666667" customWidth="1"/>
    <col min="55" max="55" width="10.5833333333333" customWidth="1"/>
    <col min="56" max="56" width="5.9" customWidth="1"/>
    <col min="57" max="57" width="7.875" customWidth="1"/>
    <col min="58" max="58" width="10.0583333333333" customWidth="1"/>
    <col min="59" max="60" width="7.46666666666667" customWidth="1"/>
    <col min="61" max="61" width="17.35" customWidth="1"/>
  </cols>
  <sheetData>
    <row r="1" s="1" customFormat="1" ht="14.25" customHeight="1" spans="1:6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8" t="s">
        <v>23</v>
      </c>
      <c r="Y1" s="9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10" t="s">
        <v>30</v>
      </c>
      <c r="AF1" s="11" t="s">
        <v>31</v>
      </c>
      <c r="AG1" s="12" t="s">
        <v>32</v>
      </c>
      <c r="AH1" s="11" t="s">
        <v>33</v>
      </c>
      <c r="AI1" s="4" t="s">
        <v>34</v>
      </c>
      <c r="AJ1" s="4" t="s">
        <v>35</v>
      </c>
      <c r="AK1" s="7" t="s">
        <v>36</v>
      </c>
      <c r="AL1" s="4" t="s">
        <v>37</v>
      </c>
      <c r="AM1" s="7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  <c r="AV1" s="4" t="s">
        <v>47</v>
      </c>
      <c r="AW1" s="4" t="s">
        <v>48</v>
      </c>
      <c r="AX1" s="4" t="s">
        <v>49</v>
      </c>
      <c r="AY1" s="6" t="s">
        <v>50</v>
      </c>
      <c r="AZ1" s="6" t="s">
        <v>51</v>
      </c>
      <c r="BA1" s="13" t="s">
        <v>52</v>
      </c>
      <c r="BB1" s="4" t="s">
        <v>53</v>
      </c>
      <c r="BC1" s="6" t="s">
        <v>54</v>
      </c>
      <c r="BD1" s="4" t="s">
        <v>55</v>
      </c>
      <c r="BE1" s="13" t="s">
        <v>56</v>
      </c>
      <c r="BF1" s="6" t="s">
        <v>57</v>
      </c>
      <c r="BG1" s="4" t="s">
        <v>58</v>
      </c>
      <c r="BH1" s="14" t="s">
        <v>59</v>
      </c>
      <c r="BI1" s="6" t="s">
        <v>60</v>
      </c>
    </row>
    <row r="2" s="1" customFormat="1" ht="14.25" customHeight="1" spans="1:61">
      <c r="A2" s="15" t="s">
        <v>61</v>
      </c>
      <c r="B2" s="15" t="s">
        <v>62</v>
      </c>
      <c r="C2" s="15" t="s">
        <v>63</v>
      </c>
      <c r="D2" s="15" t="s">
        <v>63</v>
      </c>
      <c r="E2" s="15" t="s">
        <v>64</v>
      </c>
      <c r="F2" s="16">
        <v>44186</v>
      </c>
      <c r="G2" s="17" t="s">
        <v>65</v>
      </c>
      <c r="H2" s="18" t="s">
        <v>66</v>
      </c>
      <c r="I2" s="18" t="s">
        <v>67</v>
      </c>
      <c r="J2" s="19" t="s">
        <v>68</v>
      </c>
      <c r="K2" s="18" t="s">
        <v>69</v>
      </c>
      <c r="L2" s="15" t="s">
        <v>70</v>
      </c>
      <c r="M2" s="18" t="s">
        <v>71</v>
      </c>
      <c r="N2" s="17" t="s">
        <v>72</v>
      </c>
      <c r="O2" s="17" t="s">
        <v>73</v>
      </c>
      <c r="P2" s="20" t="s">
        <v>74</v>
      </c>
      <c r="Q2" s="20" t="str">
        <f>VLOOKUP(C:C,'[1]1. 晋升基础条件审核表'!$B:$N,13,0)</f>
        <v>5-2</v>
      </c>
      <c r="R2" s="17" t="s">
        <v>75</v>
      </c>
      <c r="S2" s="17"/>
      <c r="T2" s="17"/>
      <c r="U2" s="17"/>
      <c r="V2" s="17"/>
      <c r="W2" s="17"/>
      <c r="X2" s="17"/>
      <c r="Y2" s="17"/>
      <c r="Z2" s="15" t="s">
        <v>76</v>
      </c>
      <c r="AA2" s="15" t="s">
        <v>77</v>
      </c>
      <c r="AB2" s="15" t="s">
        <v>78</v>
      </c>
      <c r="AC2" s="19">
        <f ca="1">DATEDIF(AE2,TODAY(),"y")</f>
        <v>46</v>
      </c>
      <c r="AD2" s="18" t="str">
        <f ca="1">IF(AC2&lt;25,"25岁以下",IF(AC2&lt;=30,"25-30岁",IF(AC2&lt;=35,"30-35岁",IF(AC2&lt;=40,"35-40岁",IF(AC2&lt;=45,"40-45岁","45岁以上")))))</f>
        <v>45岁以上</v>
      </c>
      <c r="AE2" s="21">
        <v>29030</v>
      </c>
      <c r="AF2" s="22"/>
      <c r="AG2" s="12"/>
      <c r="AH2" s="22"/>
      <c r="AI2" s="15" t="s">
        <v>79</v>
      </c>
      <c r="AJ2" s="15" t="s">
        <v>80</v>
      </c>
      <c r="AK2" s="17"/>
      <c r="AL2" s="23"/>
      <c r="AM2" s="17"/>
      <c r="AN2" s="15"/>
      <c r="AO2" s="19"/>
      <c r="AP2" s="19"/>
      <c r="AQ2" s="15"/>
      <c r="AR2" s="15"/>
      <c r="AS2" s="19"/>
      <c r="AT2" s="15"/>
      <c r="AU2" s="15"/>
      <c r="AV2" s="24"/>
      <c r="AW2" s="15"/>
      <c r="AX2" s="19"/>
      <c r="AY2" s="25">
        <v>44186</v>
      </c>
      <c r="AZ2" s="26">
        <f ca="1">DATEDIF(AY2,TODAY(),"m")/12</f>
        <v>5.25</v>
      </c>
      <c r="BA2" s="18" t="str">
        <f ca="1">IF(AZ2&lt;0.5,"试用期内",IF(AZ2&lt;=2,"0.5-2年",IF(AZ2&lt;=4,"2-4年",IF(AZ2&lt;=6,"4-6年","6年以上"))))</f>
        <v>4-6年</v>
      </c>
      <c r="BB2" s="15" t="s">
        <v>81</v>
      </c>
      <c r="BC2" s="25">
        <v>37712</v>
      </c>
      <c r="BD2" s="26">
        <f ca="1">DATEDIF(BC2,TODAY(),"m")/12</f>
        <v>23</v>
      </c>
      <c r="BE2" s="18" t="str">
        <f ca="1">IF(BD2&lt;1,"1年以内",IF(BD2&lt;=3,"1-3年",IF(BD2&lt;=5,"3-5年",IF(BD2&lt;=7,"5-7年",IF(BD2&lt;=10,"7-10年",IF(BD2&lt;=15,"10-15年","15年以上"))))))</f>
        <v>15年以上</v>
      </c>
      <c r="BF2" s="25">
        <v>47107</v>
      </c>
      <c r="BG2" s="15" t="s">
        <v>82</v>
      </c>
      <c r="BH2" s="19" t="s">
        <v>83</v>
      </c>
      <c r="BI2" s="25">
        <v>44186</v>
      </c>
    </row>
    <row r="3" s="1" customFormat="1" ht="14.25" customHeight="1" spans="1:61">
      <c r="A3" s="15" t="s">
        <v>84</v>
      </c>
      <c r="B3" s="15" t="s">
        <v>62</v>
      </c>
      <c r="C3" s="15" t="s">
        <v>85</v>
      </c>
      <c r="D3" s="15" t="s">
        <v>85</v>
      </c>
      <c r="E3" s="15" t="s">
        <v>64</v>
      </c>
      <c r="F3" s="16">
        <v>44426</v>
      </c>
      <c r="G3" s="17" t="s">
        <v>65</v>
      </c>
      <c r="H3" s="18" t="s">
        <v>66</v>
      </c>
      <c r="I3" s="18" t="s">
        <v>67</v>
      </c>
      <c r="J3" s="19" t="s">
        <v>86</v>
      </c>
      <c r="K3" s="18" t="s">
        <v>87</v>
      </c>
      <c r="L3" s="15" t="s">
        <v>88</v>
      </c>
      <c r="M3" s="18" t="s">
        <v>89</v>
      </c>
      <c r="N3" s="17" t="s">
        <v>72</v>
      </c>
      <c r="O3" s="17" t="s">
        <v>73</v>
      </c>
      <c r="P3" s="20" t="s">
        <v>74</v>
      </c>
      <c r="Q3" s="20" t="e">
        <f>VLOOKUP(C:C,'[1]1. 晋升基础条件审核表'!$B:$N,13,0)</f>
        <v>#N/A</v>
      </c>
      <c r="R3" s="17" t="s">
        <v>75</v>
      </c>
      <c r="S3" s="17"/>
      <c r="T3" s="17"/>
      <c r="U3" s="17"/>
      <c r="V3" s="17"/>
      <c r="W3" s="17"/>
      <c r="X3" s="17"/>
      <c r="Y3" s="17"/>
      <c r="Z3" s="15" t="s">
        <v>76</v>
      </c>
      <c r="AA3" s="15" t="s">
        <v>77</v>
      </c>
      <c r="AB3" s="15" t="s">
        <v>78</v>
      </c>
      <c r="AC3" s="19">
        <f ca="1">DATEDIF(AE3,TODAY(),"y")</f>
        <v>35</v>
      </c>
      <c r="AD3" s="18" t="str">
        <f ca="1">IF(AC3&lt;25,"25岁以下",IF(AC3&lt;=30,"25-30岁",IF(AC3&lt;=35,"30-35岁",IF(AC3&lt;=40,"35-40岁",IF(AC3&lt;=45,"40-45岁","45岁以上")))))</f>
        <v>30-35岁</v>
      </c>
      <c r="AE3" s="21">
        <v>33121</v>
      </c>
      <c r="AF3" s="22"/>
      <c r="AG3" s="12"/>
      <c r="AH3" s="22"/>
      <c r="AI3" s="15" t="s">
        <v>79</v>
      </c>
      <c r="AJ3" s="15" t="s">
        <v>80</v>
      </c>
      <c r="AK3" s="17"/>
      <c r="AL3" s="27"/>
      <c r="AM3" s="17"/>
      <c r="AN3" s="15"/>
      <c r="AO3" s="19"/>
      <c r="AP3" s="19"/>
      <c r="AQ3" s="15"/>
      <c r="AR3" s="15"/>
      <c r="AS3" s="19"/>
      <c r="AT3" s="15"/>
      <c r="AU3" s="15"/>
      <c r="AV3" s="28"/>
      <c r="AW3" s="15"/>
      <c r="AX3" s="19"/>
      <c r="AY3" s="25">
        <v>44426</v>
      </c>
      <c r="AZ3" s="26">
        <f ca="1">DATEDIF(AY3,TODAY(),"m")/12</f>
        <v>4.58333333333333</v>
      </c>
      <c r="BA3" s="18" t="str">
        <f ca="1">IF(AZ3&lt;0.5,"试用期内",IF(AZ3&lt;=2,"0.5-2年",IF(AZ3&lt;=4,"2-4年",IF(AZ3&lt;=6,"4-6年","6年以上"))))</f>
        <v>4-6年</v>
      </c>
      <c r="BB3" s="15" t="s">
        <v>81</v>
      </c>
      <c r="BC3" s="25">
        <v>42095</v>
      </c>
      <c r="BD3" s="26">
        <f ca="1">DATEDIF(BC3,TODAY(),"m")/12</f>
        <v>11</v>
      </c>
      <c r="BE3" s="18" t="str">
        <f ca="1">IF(BD3&lt;1,"1年以内",IF(BD3&lt;=3,"1-3年",IF(BD3&lt;=5,"3-5年",IF(BD3&lt;=7,"5-7年",IF(BD3&lt;=10,"7-10年",IF(BD3&lt;=15,"10-15年","15年以上"))))))</f>
        <v>10-15年</v>
      </c>
      <c r="BF3" s="25">
        <v>47347</v>
      </c>
      <c r="BG3" s="15" t="s">
        <v>82</v>
      </c>
      <c r="BH3" s="19" t="s">
        <v>83</v>
      </c>
      <c r="BI3" s="25">
        <v>44426</v>
      </c>
    </row>
    <row r="4" s="1" customFormat="1" ht="14.25" customHeight="1" spans="1:61">
      <c r="A4" s="15" t="s">
        <v>90</v>
      </c>
      <c r="B4" s="15" t="s">
        <v>62</v>
      </c>
      <c r="C4" s="15" t="s">
        <v>91</v>
      </c>
      <c r="D4" s="15" t="s">
        <v>91</v>
      </c>
      <c r="E4" s="15" t="s">
        <v>92</v>
      </c>
      <c r="F4" s="16">
        <v>44675</v>
      </c>
      <c r="G4" s="17" t="s">
        <v>65</v>
      </c>
      <c r="H4" s="18" t="s">
        <v>66</v>
      </c>
      <c r="I4" s="18" t="s">
        <v>67</v>
      </c>
      <c r="J4" s="19" t="s">
        <v>93</v>
      </c>
      <c r="K4" s="18" t="s">
        <v>94</v>
      </c>
      <c r="L4" s="15" t="s">
        <v>95</v>
      </c>
      <c r="M4" s="18" t="str">
        <f>VLOOKUP(C:C,'[1]1. 晋升基础条件审核表'!$B:$H,7,0)</f>
        <v>系统测试工程师</v>
      </c>
      <c r="N4" s="17" t="s">
        <v>72</v>
      </c>
      <c r="O4" s="17" t="s">
        <v>73</v>
      </c>
      <c r="P4" s="20" t="s">
        <v>96</v>
      </c>
      <c r="Q4" s="20" t="e">
        <f>VLOOKUP(C:C,'[1]1. 晋升基础条件审核表'!$B:$N,13,0)</f>
        <v>#N/A</v>
      </c>
      <c r="R4" s="17" t="s">
        <v>75</v>
      </c>
      <c r="S4" s="17"/>
      <c r="T4" s="17"/>
      <c r="U4" s="17"/>
      <c r="V4" s="17"/>
      <c r="W4" s="17"/>
      <c r="X4" s="17"/>
      <c r="Y4" s="17"/>
      <c r="Z4" s="15" t="s">
        <v>76</v>
      </c>
      <c r="AA4" s="15" t="s">
        <v>77</v>
      </c>
      <c r="AB4" s="15" t="s">
        <v>78</v>
      </c>
      <c r="AC4" s="19">
        <f ca="1">DATEDIF(AE4,TODAY(),"y")</f>
        <v>37</v>
      </c>
      <c r="AD4" s="18" t="str">
        <f ca="1">IF(AC4&lt;25,"25岁以下",IF(AC4&lt;=30,"25-30岁",IF(AC4&lt;=35,"30-35岁",IF(AC4&lt;=40,"35-40岁",IF(AC4&lt;=45,"40-45岁","45岁以上")))))</f>
        <v>35-40岁</v>
      </c>
      <c r="AE4" s="21">
        <v>32424</v>
      </c>
      <c r="AF4" s="22"/>
      <c r="AG4" s="12"/>
      <c r="AH4" s="22"/>
      <c r="AI4" s="15" t="s">
        <v>79</v>
      </c>
      <c r="AJ4" s="15" t="s">
        <v>80</v>
      </c>
      <c r="AK4" s="17"/>
      <c r="AL4" s="27"/>
      <c r="AM4" s="17"/>
      <c r="AN4" s="15"/>
      <c r="AO4" s="19"/>
      <c r="AP4" s="19"/>
      <c r="AQ4" s="15"/>
      <c r="AR4" s="15"/>
      <c r="AS4" s="19"/>
      <c r="AT4" s="15"/>
      <c r="AU4" s="15"/>
      <c r="AV4" s="15"/>
      <c r="AW4" s="15"/>
      <c r="AX4" s="19"/>
      <c r="AY4" s="25">
        <v>44675</v>
      </c>
      <c r="AZ4" s="26">
        <f ca="1">DATEDIF(AY4,TODAY(),"m")/12</f>
        <v>3.91666666666667</v>
      </c>
      <c r="BA4" s="18" t="str">
        <f ca="1">IF(AZ4&lt;0.5,"试用期内",IF(AZ4&lt;=2,"0.5-2年",IF(AZ4&lt;=4,"2-4年",IF(AZ4&lt;=6,"4-6年","6年以上"))))</f>
        <v>2-4年</v>
      </c>
      <c r="BB4" s="15" t="s">
        <v>81</v>
      </c>
      <c r="BC4" s="25">
        <v>42443</v>
      </c>
      <c r="BD4" s="26">
        <f ca="1">DATEDIF(BC4,TODAY(),"m")/12</f>
        <v>10</v>
      </c>
      <c r="BE4" s="18" t="str">
        <f ca="1">IF(BD4&lt;1,"1年以内",IF(BD4&lt;=3,"1-3年",IF(BD4&lt;=5,"3-5年",IF(BD4&lt;=7,"5-7年",IF(BD4&lt;=10,"7-10年",IF(BD4&lt;=15,"10-15年","15年以上"))))))</f>
        <v>7-10年</v>
      </c>
      <c r="BF4" s="25">
        <v>46105</v>
      </c>
      <c r="BG4" s="15" t="s">
        <v>82</v>
      </c>
      <c r="BH4" s="19" t="s">
        <v>83</v>
      </c>
      <c r="BI4" s="25">
        <v>44675</v>
      </c>
    </row>
    <row r="5" s="2" customFormat="1" ht="14.25" customHeight="1" spans="1:61">
      <c r="A5" s="15" t="s">
        <v>97</v>
      </c>
      <c r="B5" s="15" t="s">
        <v>62</v>
      </c>
      <c r="C5" s="15" t="s">
        <v>98</v>
      </c>
      <c r="D5" s="15" t="s">
        <v>98</v>
      </c>
      <c r="E5" s="15" t="s">
        <v>64</v>
      </c>
      <c r="F5" s="16">
        <v>44774</v>
      </c>
      <c r="G5" s="17" t="s">
        <v>65</v>
      </c>
      <c r="H5" s="18" t="s">
        <v>66</v>
      </c>
      <c r="I5" s="18" t="s">
        <v>67</v>
      </c>
      <c r="J5" s="19" t="s">
        <v>68</v>
      </c>
      <c r="K5" s="18" t="s">
        <v>82</v>
      </c>
      <c r="L5" s="15" t="s">
        <v>99</v>
      </c>
      <c r="M5" s="18" t="str">
        <f>VLOOKUP(C:C,'[1]1. 晋升基础条件审核表'!$B:$H,7,0)</f>
        <v>平台软件工程师</v>
      </c>
      <c r="N5" s="17" t="s">
        <v>72</v>
      </c>
      <c r="O5" s="17" t="s">
        <v>100</v>
      </c>
      <c r="P5" s="20" t="s">
        <v>74</v>
      </c>
      <c r="Q5" s="20" t="e">
        <f>VLOOKUP(C:C,'[1]1. 晋升基础条件审核表'!$B:$N,13,0)</f>
        <v>#N/A</v>
      </c>
      <c r="R5" s="17" t="s">
        <v>75</v>
      </c>
      <c r="S5" s="17"/>
      <c r="T5" s="17"/>
      <c r="U5" s="17"/>
      <c r="V5" s="17"/>
      <c r="W5" s="17" t="s">
        <v>101</v>
      </c>
      <c r="X5" s="29">
        <v>45458</v>
      </c>
      <c r="Y5" s="17"/>
      <c r="Z5" s="15" t="s">
        <v>76</v>
      </c>
      <c r="AA5" s="15" t="s">
        <v>77</v>
      </c>
      <c r="AB5" s="15" t="s">
        <v>78</v>
      </c>
      <c r="AC5" s="19">
        <f ca="1">DATEDIF(AE5,TODAY(),"y")</f>
        <v>34</v>
      </c>
      <c r="AD5" s="18" t="str">
        <f ca="1">IF(AC5&lt;25,"25岁以下",IF(AC5&lt;=30,"25-30岁",IF(AC5&lt;=35,"30-35岁",IF(AC5&lt;=40,"35-40岁",IF(AC5&lt;=45,"40-45岁","45岁以上")))))</f>
        <v>30-35岁</v>
      </c>
      <c r="AE5" s="21">
        <v>33402</v>
      </c>
      <c r="AF5" s="22"/>
      <c r="AG5" s="12"/>
      <c r="AH5" s="22"/>
      <c r="AI5" s="15" t="s">
        <v>79</v>
      </c>
      <c r="AJ5" s="15" t="s">
        <v>80</v>
      </c>
      <c r="AK5" s="17"/>
      <c r="AL5" s="27"/>
      <c r="AM5" s="17"/>
      <c r="AN5" s="15"/>
      <c r="AO5" s="19"/>
      <c r="AP5" s="19"/>
      <c r="AQ5" s="15"/>
      <c r="AR5" s="15"/>
      <c r="AS5" s="19"/>
      <c r="AT5" s="15"/>
      <c r="AU5" s="15"/>
      <c r="AV5" s="28"/>
      <c r="AW5" s="15"/>
      <c r="AX5" s="19"/>
      <c r="AY5" s="25">
        <v>44774</v>
      </c>
      <c r="AZ5" s="26">
        <f ca="1">DATEDIF(AY5,TODAY(),"m")/12</f>
        <v>3.66666666666667</v>
      </c>
      <c r="BA5" s="18" t="str">
        <f ca="1">IF(AZ5&lt;0.5,"试用期内",IF(AZ5&lt;=2,"0.5-2年",IF(AZ5&lt;=4,"2-4年",IF(AZ5&lt;=6,"4-6年","6年以上"))))</f>
        <v>2-4年</v>
      </c>
      <c r="BB5" s="15" t="s">
        <v>81</v>
      </c>
      <c r="BC5" s="30">
        <v>43291</v>
      </c>
      <c r="BD5" s="26">
        <f ca="1">DATEDIF(BC5,TODAY(),"m")/12</f>
        <v>7.66666666666667</v>
      </c>
      <c r="BE5" s="18" t="str">
        <f ca="1">IF(BD5&lt;1,"1年以内",IF(BD5&lt;=3,"1-3年",IF(BD5&lt;=5,"3-5年",IF(BD5&lt;=7,"5-7年",IF(BD5&lt;=10,"7-10年",IF(BD5&lt;=15,"10-15年","15年以上"))))))</f>
        <v>7-10年</v>
      </c>
      <c r="BF5" s="25">
        <v>47695</v>
      </c>
      <c r="BG5" s="15" t="s">
        <v>82</v>
      </c>
      <c r="BH5" s="19" t="s">
        <v>83</v>
      </c>
      <c r="BI5" s="25">
        <v>44774</v>
      </c>
    </row>
    <row r="6" s="2" customFormat="1" ht="14.25" customHeight="1" spans="1:61">
      <c r="A6" s="15" t="s">
        <v>102</v>
      </c>
      <c r="B6" s="15" t="s">
        <v>62</v>
      </c>
      <c r="C6" s="15" t="s">
        <v>103</v>
      </c>
      <c r="D6" s="15" t="s">
        <v>103</v>
      </c>
      <c r="E6" s="15" t="s">
        <v>64</v>
      </c>
      <c r="F6" s="16">
        <v>45425</v>
      </c>
      <c r="G6" s="17" t="s">
        <v>104</v>
      </c>
      <c r="H6" s="18" t="s">
        <v>66</v>
      </c>
      <c r="I6" s="18" t="s">
        <v>67</v>
      </c>
      <c r="J6" s="19" t="s">
        <v>93</v>
      </c>
      <c r="K6" s="18" t="s">
        <v>82</v>
      </c>
      <c r="L6" s="15" t="s">
        <v>105</v>
      </c>
      <c r="M6" s="18" t="str">
        <f>VLOOKUP(C:C,'[1]1. 晋升基础条件审核表'!$B:$H,7,0)</f>
        <v>算法与协议软件工程师</v>
      </c>
      <c r="N6" s="17" t="s">
        <v>72</v>
      </c>
      <c r="O6" s="17" t="s">
        <v>100</v>
      </c>
      <c r="P6" s="20" t="s">
        <v>74</v>
      </c>
      <c r="Q6" s="20" t="e">
        <f>VLOOKUP(C:C,'[1]1. 晋升基础条件审核表'!$B:$N,13,0)</f>
        <v>#N/A</v>
      </c>
      <c r="R6" s="17" t="s">
        <v>75</v>
      </c>
      <c r="S6" s="17"/>
      <c r="T6" s="17"/>
      <c r="U6" s="17"/>
      <c r="V6" s="17"/>
      <c r="W6" s="17" t="s">
        <v>101</v>
      </c>
      <c r="X6" s="29">
        <v>45666</v>
      </c>
      <c r="Y6" s="17"/>
      <c r="Z6" s="15" t="s">
        <v>76</v>
      </c>
      <c r="AA6" s="15" t="s">
        <v>77</v>
      </c>
      <c r="AB6" s="15" t="s">
        <v>78</v>
      </c>
      <c r="AC6" s="19">
        <f ca="1" t="shared" ref="AC6:AC46" si="0">DATEDIF(AE6,TODAY(),"y")</f>
        <v>33</v>
      </c>
      <c r="AD6" s="18" t="str">
        <f ca="1" t="shared" ref="AD6:AD46" si="1">IF(AC6&lt;25,"25岁以下",IF(AC6&lt;=30,"25-30岁",IF(AC6&lt;=35,"30-35岁",IF(AC6&lt;=40,"35-40岁",IF(AC6&lt;=45,"40-45岁","45岁以上")))))</f>
        <v>30-35岁</v>
      </c>
      <c r="AE6" s="21">
        <v>33994</v>
      </c>
      <c r="AF6" s="22"/>
      <c r="AG6" s="12"/>
      <c r="AH6" s="22"/>
      <c r="AI6" s="15" t="s">
        <v>79</v>
      </c>
      <c r="AJ6" s="15" t="s">
        <v>106</v>
      </c>
      <c r="AK6" s="15"/>
      <c r="AL6" s="27"/>
      <c r="AM6" s="17"/>
      <c r="AN6" s="15"/>
      <c r="AO6" s="19"/>
      <c r="AP6" s="31"/>
      <c r="AQ6" s="15"/>
      <c r="AR6" s="15"/>
      <c r="AS6" s="19"/>
      <c r="AT6" s="15"/>
      <c r="AU6" s="15"/>
      <c r="AV6" s="15"/>
      <c r="AW6" s="15"/>
      <c r="AX6" s="19"/>
      <c r="AY6" s="25">
        <v>45425</v>
      </c>
      <c r="AZ6" s="26">
        <f ca="1" t="shared" ref="AZ6:AZ46" si="2">DATEDIF(AY6,TODAY(),"m")/12</f>
        <v>1.83333333333333</v>
      </c>
      <c r="BA6" s="18" t="str">
        <f ca="1" t="shared" ref="BA6:BA46" si="3">IF(AZ6&lt;0.5,"试用期内",IF(AZ6&lt;=2,"0.5-2年",IF(AZ6&lt;=4,"2-4年",IF(AZ6&lt;=6,"4-6年","6年以上"))))</f>
        <v>0.5-2年</v>
      </c>
      <c r="BB6" s="15" t="s">
        <v>81</v>
      </c>
      <c r="BC6" s="25">
        <v>42287</v>
      </c>
      <c r="BD6" s="26">
        <f ca="1" t="shared" ref="BD6:BD46" si="4">DATEDIF(BC6,TODAY(),"m")/12</f>
        <v>10.4166666666667</v>
      </c>
      <c r="BE6" s="18" t="str">
        <f ca="1" t="shared" ref="BE6:BE46" si="5">IF(BD6&lt;1,"1年以内",IF(BD6&lt;=3,"1-3年",IF(BD6&lt;=5,"3-5年",IF(BD6&lt;=7,"5-7年",IF(BD6&lt;=10,"7-10年",IF(BD6&lt;=15,"10-15年","15年以上"))))))</f>
        <v>10-15年</v>
      </c>
      <c r="BF6" s="25">
        <v>46519</v>
      </c>
      <c r="BG6" s="15" t="s">
        <v>82</v>
      </c>
      <c r="BH6" s="19" t="s">
        <v>83</v>
      </c>
      <c r="BI6" s="25">
        <v>45425</v>
      </c>
    </row>
    <row r="7" s="2" customFormat="1" ht="14.25" customHeight="1" spans="1:61">
      <c r="A7" s="15" t="s">
        <v>107</v>
      </c>
      <c r="B7" s="15" t="s">
        <v>62</v>
      </c>
      <c r="C7" s="15" t="s">
        <v>108</v>
      </c>
      <c r="D7" s="15" t="s">
        <v>108</v>
      </c>
      <c r="E7" s="15" t="s">
        <v>64</v>
      </c>
      <c r="F7" s="16">
        <v>45446</v>
      </c>
      <c r="G7" s="17" t="s">
        <v>104</v>
      </c>
      <c r="H7" s="18" t="s">
        <v>66</v>
      </c>
      <c r="I7" s="18" t="s">
        <v>67</v>
      </c>
      <c r="J7" s="19" t="s">
        <v>93</v>
      </c>
      <c r="K7" s="18" t="s">
        <v>94</v>
      </c>
      <c r="L7" s="15" t="s">
        <v>109</v>
      </c>
      <c r="M7" s="18" t="e">
        <f>VLOOKUP(C:C,'[1]1. 晋升基础条件审核表'!$B:$H,7,0)</f>
        <v>#N/A</v>
      </c>
      <c r="N7" s="17" t="s">
        <v>72</v>
      </c>
      <c r="O7" s="17" t="s">
        <v>73</v>
      </c>
      <c r="P7" s="20" t="s">
        <v>96</v>
      </c>
      <c r="Q7" s="20" t="e">
        <f>VLOOKUP(C:C,'[1]1. 晋升基础条件审核表'!$B:$N,13,0)</f>
        <v>#N/A</v>
      </c>
      <c r="R7" s="17" t="s">
        <v>75</v>
      </c>
      <c r="S7" s="17"/>
      <c r="T7" s="17"/>
      <c r="U7" s="17"/>
      <c r="V7" s="17"/>
      <c r="W7" s="17"/>
      <c r="X7" s="17"/>
      <c r="Y7" s="17"/>
      <c r="Z7" s="15" t="s">
        <v>76</v>
      </c>
      <c r="AA7" s="15" t="s">
        <v>77</v>
      </c>
      <c r="AB7" s="15" t="s">
        <v>78</v>
      </c>
      <c r="AC7" s="19">
        <f ca="1" t="shared" si="0"/>
        <v>26</v>
      </c>
      <c r="AD7" s="18" t="str">
        <f ca="1" t="shared" si="1"/>
        <v>25-30岁</v>
      </c>
      <c r="AE7" s="21">
        <v>36412</v>
      </c>
      <c r="AF7" s="22"/>
      <c r="AG7" s="12"/>
      <c r="AH7" s="22"/>
      <c r="AI7" s="15" t="s">
        <v>79</v>
      </c>
      <c r="AJ7" s="15" t="s">
        <v>106</v>
      </c>
      <c r="AK7" s="15"/>
      <c r="AL7" s="27"/>
      <c r="AM7" s="17"/>
      <c r="AN7" s="15"/>
      <c r="AO7" s="19"/>
      <c r="AP7" s="31"/>
      <c r="AQ7" s="15"/>
      <c r="AR7" s="15"/>
      <c r="AS7" s="19"/>
      <c r="AT7" s="15"/>
      <c r="AU7" s="15"/>
      <c r="AV7" s="15"/>
      <c r="AW7" s="15"/>
      <c r="AX7" s="19"/>
      <c r="AY7" s="25">
        <v>45446</v>
      </c>
      <c r="AZ7" s="26">
        <f ca="1" t="shared" si="2"/>
        <v>1.83333333333333</v>
      </c>
      <c r="BA7" s="18" t="str">
        <f ca="1" t="shared" si="3"/>
        <v>0.5-2年</v>
      </c>
      <c r="BB7" s="15" t="s">
        <v>81</v>
      </c>
      <c r="BC7" s="25">
        <v>44375</v>
      </c>
      <c r="BD7" s="26">
        <f ca="1" t="shared" si="4"/>
        <v>4.75</v>
      </c>
      <c r="BE7" s="18" t="str">
        <f ca="1" t="shared" si="5"/>
        <v>3-5年</v>
      </c>
      <c r="BF7" s="25">
        <v>46540</v>
      </c>
      <c r="BG7" s="15" t="s">
        <v>82</v>
      </c>
      <c r="BH7" s="19" t="s">
        <v>83</v>
      </c>
      <c r="BI7" s="25">
        <v>45446</v>
      </c>
    </row>
    <row r="8" s="2" customFormat="1" ht="14.25" customHeight="1" spans="1:61">
      <c r="A8" s="15" t="s">
        <v>110</v>
      </c>
      <c r="B8" s="15" t="s">
        <v>62</v>
      </c>
      <c r="C8" s="32" t="s">
        <v>111</v>
      </c>
      <c r="D8" s="32" t="s">
        <v>111</v>
      </c>
      <c r="E8" s="15" t="s">
        <v>64</v>
      </c>
      <c r="F8" s="16">
        <v>45462</v>
      </c>
      <c r="G8" s="17" t="s">
        <v>104</v>
      </c>
      <c r="H8" s="18" t="s">
        <v>66</v>
      </c>
      <c r="I8" s="18" t="s">
        <v>67</v>
      </c>
      <c r="J8" s="19" t="s">
        <v>68</v>
      </c>
      <c r="K8" s="18" t="s">
        <v>69</v>
      </c>
      <c r="L8" s="15" t="s">
        <v>112</v>
      </c>
      <c r="M8" s="18" t="s">
        <v>113</v>
      </c>
      <c r="N8" s="17" t="s">
        <v>72</v>
      </c>
      <c r="O8" s="17" t="s">
        <v>73</v>
      </c>
      <c r="P8" s="20" t="s">
        <v>96</v>
      </c>
      <c r="Q8" s="20" t="e">
        <f>VLOOKUP(C:C,'[1]1. 晋升基础条件审核表'!$B:$N,13,0)</f>
        <v>#N/A</v>
      </c>
      <c r="R8" s="17" t="s">
        <v>75</v>
      </c>
      <c r="S8" s="17"/>
      <c r="T8" s="17"/>
      <c r="U8" s="17"/>
      <c r="V8" s="17"/>
      <c r="W8" s="17"/>
      <c r="X8" s="17"/>
      <c r="Y8" s="17"/>
      <c r="Z8" s="15" t="s">
        <v>76</v>
      </c>
      <c r="AA8" s="15" t="s">
        <v>77</v>
      </c>
      <c r="AB8" s="15" t="s">
        <v>78</v>
      </c>
      <c r="AC8" s="19">
        <f ca="1" t="shared" si="0"/>
        <v>28</v>
      </c>
      <c r="AD8" s="18" t="str">
        <f ca="1" t="shared" si="1"/>
        <v>25-30岁</v>
      </c>
      <c r="AE8" s="21">
        <v>35732</v>
      </c>
      <c r="AF8" s="22"/>
      <c r="AG8" s="12"/>
      <c r="AH8" s="22"/>
      <c r="AI8" s="15" t="s">
        <v>79</v>
      </c>
      <c r="AJ8" s="15" t="s">
        <v>106</v>
      </c>
      <c r="AK8" s="15"/>
      <c r="AL8" s="27"/>
      <c r="AM8" s="17"/>
      <c r="AN8" s="15"/>
      <c r="AO8" s="19"/>
      <c r="AP8" s="31"/>
      <c r="AQ8" s="15"/>
      <c r="AR8" s="15"/>
      <c r="AS8" s="19"/>
      <c r="AT8" s="15"/>
      <c r="AU8" s="15"/>
      <c r="AV8" s="15"/>
      <c r="AW8" s="15"/>
      <c r="AX8" s="19"/>
      <c r="AY8" s="25">
        <v>45462</v>
      </c>
      <c r="AZ8" s="26">
        <f ca="1" t="shared" si="2"/>
        <v>1.75</v>
      </c>
      <c r="BA8" s="18" t="str">
        <f ca="1" t="shared" si="3"/>
        <v>0.5-2年</v>
      </c>
      <c r="BB8" s="15" t="s">
        <v>81</v>
      </c>
      <c r="BC8" s="25">
        <v>43997</v>
      </c>
      <c r="BD8" s="26">
        <f ca="1" t="shared" si="4"/>
        <v>5.75</v>
      </c>
      <c r="BE8" s="18" t="str">
        <f ca="1" t="shared" si="5"/>
        <v>5-7年</v>
      </c>
      <c r="BF8" s="25">
        <v>46556</v>
      </c>
      <c r="BG8" s="15" t="s">
        <v>82</v>
      </c>
      <c r="BH8" s="19" t="s">
        <v>83</v>
      </c>
      <c r="BI8" s="25">
        <v>45462</v>
      </c>
    </row>
    <row r="9" s="2" customFormat="1" ht="14.25" customHeight="1" spans="1:61">
      <c r="A9" s="15" t="s">
        <v>114</v>
      </c>
      <c r="B9" s="15" t="s">
        <v>62</v>
      </c>
      <c r="C9" s="15" t="s">
        <v>115</v>
      </c>
      <c r="D9" s="15" t="s">
        <v>115</v>
      </c>
      <c r="E9" s="15" t="s">
        <v>64</v>
      </c>
      <c r="F9" s="16">
        <v>45516</v>
      </c>
      <c r="G9" s="17" t="s">
        <v>104</v>
      </c>
      <c r="H9" s="18" t="s">
        <v>66</v>
      </c>
      <c r="I9" s="18" t="s">
        <v>67</v>
      </c>
      <c r="J9" s="19" t="s">
        <v>68</v>
      </c>
      <c r="K9" s="18" t="s">
        <v>69</v>
      </c>
      <c r="L9" s="15" t="s">
        <v>116</v>
      </c>
      <c r="M9" s="18" t="s">
        <v>117</v>
      </c>
      <c r="N9" s="17" t="s">
        <v>72</v>
      </c>
      <c r="O9" s="17" t="s">
        <v>73</v>
      </c>
      <c r="P9" s="20" t="s">
        <v>74</v>
      </c>
      <c r="Q9" s="20" t="str">
        <f>VLOOKUP(C:C,'[1]1. 晋升基础条件审核表'!$B:$N,13,0)</f>
        <v>5-1</v>
      </c>
      <c r="R9" s="17" t="s">
        <v>75</v>
      </c>
      <c r="S9" s="17"/>
      <c r="T9" s="17"/>
      <c r="U9" s="17"/>
      <c r="V9" s="17"/>
      <c r="W9" s="17"/>
      <c r="X9" s="17"/>
      <c r="Y9" s="17"/>
      <c r="Z9" s="15" t="s">
        <v>76</v>
      </c>
      <c r="AA9" s="15" t="s">
        <v>77</v>
      </c>
      <c r="AB9" s="15" t="s">
        <v>78</v>
      </c>
      <c r="AC9" s="19">
        <f ca="1" t="shared" si="0"/>
        <v>37</v>
      </c>
      <c r="AD9" s="18" t="str">
        <f ca="1" t="shared" si="1"/>
        <v>35-40岁</v>
      </c>
      <c r="AE9" s="21">
        <v>32411</v>
      </c>
      <c r="AF9" s="22"/>
      <c r="AG9" s="12"/>
      <c r="AH9" s="22"/>
      <c r="AI9" s="15" t="s">
        <v>79</v>
      </c>
      <c r="AJ9" s="15" t="s">
        <v>106</v>
      </c>
      <c r="AK9" s="15"/>
      <c r="AL9" s="27"/>
      <c r="AM9" s="17"/>
      <c r="AN9" s="15"/>
      <c r="AO9" s="19"/>
      <c r="AP9" s="31"/>
      <c r="AQ9" s="15"/>
      <c r="AR9" s="15"/>
      <c r="AS9" s="19"/>
      <c r="AT9" s="15"/>
      <c r="AU9" s="15"/>
      <c r="AV9" s="15"/>
      <c r="AW9" s="15"/>
      <c r="AX9" s="19"/>
      <c r="AY9" s="25">
        <v>45516</v>
      </c>
      <c r="AZ9" s="26">
        <f ca="1" t="shared" si="2"/>
        <v>1.58333333333333</v>
      </c>
      <c r="BA9" s="18" t="str">
        <f ca="1" t="shared" si="3"/>
        <v>0.5-2年</v>
      </c>
      <c r="BB9" s="15" t="s">
        <v>81</v>
      </c>
      <c r="BC9" s="25">
        <v>41456</v>
      </c>
      <c r="BD9" s="26">
        <f ca="1" t="shared" si="4"/>
        <v>12.75</v>
      </c>
      <c r="BE9" s="18" t="str">
        <f ca="1" t="shared" si="5"/>
        <v>10-15年</v>
      </c>
      <c r="BF9" s="25">
        <v>46610</v>
      </c>
      <c r="BG9" s="15" t="s">
        <v>82</v>
      </c>
      <c r="BH9" s="19" t="s">
        <v>83</v>
      </c>
      <c r="BI9" s="25">
        <v>45516</v>
      </c>
    </row>
    <row r="10" s="2" customFormat="1" ht="14.25" customHeight="1" spans="1:61">
      <c r="A10" s="15" t="s">
        <v>118</v>
      </c>
      <c r="B10" s="15" t="s">
        <v>62</v>
      </c>
      <c r="C10" s="15" t="s">
        <v>119</v>
      </c>
      <c r="D10" s="15" t="s">
        <v>119</v>
      </c>
      <c r="E10" s="15" t="s">
        <v>64</v>
      </c>
      <c r="F10" s="16">
        <v>45574</v>
      </c>
      <c r="G10" s="17" t="s">
        <v>104</v>
      </c>
      <c r="H10" s="18" t="s">
        <v>66</v>
      </c>
      <c r="I10" s="18" t="s">
        <v>67</v>
      </c>
      <c r="J10" s="19" t="s">
        <v>68</v>
      </c>
      <c r="K10" s="18" t="s">
        <v>69</v>
      </c>
      <c r="L10" s="15" t="s">
        <v>120</v>
      </c>
      <c r="M10" s="18" t="str">
        <f>VLOOKUP(C:C,'[1]1. 晋升基础条件审核表'!$B:$H,7,0)</f>
        <v>系统测试工程师</v>
      </c>
      <c r="N10" s="17" t="s">
        <v>72</v>
      </c>
      <c r="O10" s="17" t="s">
        <v>73</v>
      </c>
      <c r="P10" s="20" t="s">
        <v>96</v>
      </c>
      <c r="Q10" s="20" t="str">
        <f>VLOOKUP(C:C,'[1]1. 晋升基础条件审核表'!$B:$N,13,0)</f>
        <v>4-2</v>
      </c>
      <c r="R10" s="17" t="s">
        <v>75</v>
      </c>
      <c r="S10" s="17"/>
      <c r="T10" s="17"/>
      <c r="U10" s="17"/>
      <c r="V10" s="17"/>
      <c r="W10" s="17"/>
      <c r="X10" s="17"/>
      <c r="Y10" s="17"/>
      <c r="Z10" s="15" t="s">
        <v>76</v>
      </c>
      <c r="AA10" s="15" t="s">
        <v>77</v>
      </c>
      <c r="AB10" s="15" t="s">
        <v>78</v>
      </c>
      <c r="AC10" s="19">
        <f ca="1" t="shared" si="0"/>
        <v>40</v>
      </c>
      <c r="AD10" s="18" t="str">
        <f ca="1" t="shared" si="1"/>
        <v>35-40岁</v>
      </c>
      <c r="AE10" s="21">
        <v>31261</v>
      </c>
      <c r="AF10" s="22"/>
      <c r="AG10" s="12"/>
      <c r="AH10" s="22"/>
      <c r="AI10" s="15" t="s">
        <v>79</v>
      </c>
      <c r="AJ10" s="15" t="s">
        <v>106</v>
      </c>
      <c r="AK10" s="15"/>
      <c r="AL10" s="27"/>
      <c r="AM10" s="17"/>
      <c r="AN10" s="15"/>
      <c r="AO10" s="19"/>
      <c r="AP10" s="31"/>
      <c r="AQ10" s="15"/>
      <c r="AR10" s="15"/>
      <c r="AS10" s="19"/>
      <c r="AT10" s="15"/>
      <c r="AU10" s="15"/>
      <c r="AV10" s="15"/>
      <c r="AW10" s="15"/>
      <c r="AX10" s="19"/>
      <c r="AY10" s="25">
        <v>45574</v>
      </c>
      <c r="AZ10" s="26">
        <f ca="1" t="shared" si="2"/>
        <v>1.41666666666667</v>
      </c>
      <c r="BA10" s="18" t="str">
        <f ca="1" t="shared" si="3"/>
        <v>0.5-2年</v>
      </c>
      <c r="BB10" s="15" t="s">
        <v>81</v>
      </c>
      <c r="BC10" s="25">
        <v>39995</v>
      </c>
      <c r="BD10" s="26">
        <f ca="1" t="shared" si="4"/>
        <v>16.75</v>
      </c>
      <c r="BE10" s="18" t="str">
        <f ca="1" t="shared" si="5"/>
        <v>15年以上</v>
      </c>
      <c r="BF10" s="25">
        <v>46668</v>
      </c>
      <c r="BG10" s="15" t="s">
        <v>82</v>
      </c>
      <c r="BH10" s="19" t="s">
        <v>83</v>
      </c>
      <c r="BI10" s="25">
        <v>45574</v>
      </c>
    </row>
    <row r="11" s="2" customFormat="1" ht="14.25" customHeight="1" spans="1:61">
      <c r="A11" s="15" t="s">
        <v>121</v>
      </c>
      <c r="B11" s="15" t="s">
        <v>62</v>
      </c>
      <c r="C11" s="15" t="s">
        <v>122</v>
      </c>
      <c r="D11" s="15" t="s">
        <v>122</v>
      </c>
      <c r="E11" s="15" t="s">
        <v>64</v>
      </c>
      <c r="F11" s="16">
        <v>45579</v>
      </c>
      <c r="G11" s="17" t="s">
        <v>104</v>
      </c>
      <c r="H11" s="18" t="s">
        <v>66</v>
      </c>
      <c r="I11" s="18" t="s">
        <v>67</v>
      </c>
      <c r="J11" s="19" t="s">
        <v>93</v>
      </c>
      <c r="K11" s="18" t="s">
        <v>94</v>
      </c>
      <c r="L11" s="15" t="s">
        <v>105</v>
      </c>
      <c r="M11" s="18" t="str">
        <f>VLOOKUP(C:C,'[1]1. 晋升基础条件审核表'!$B:$H,7,0)</f>
        <v>平台硬件工程师</v>
      </c>
      <c r="N11" s="17" t="s">
        <v>72</v>
      </c>
      <c r="O11" s="17" t="s">
        <v>73</v>
      </c>
      <c r="P11" s="20" t="s">
        <v>96</v>
      </c>
      <c r="Q11" s="20" t="str">
        <f>VLOOKUP(C:C,'[1]1. 晋升基础条件审核表'!$B:$N,13,0)</f>
        <v>5-2</v>
      </c>
      <c r="R11" s="17" t="s">
        <v>75</v>
      </c>
      <c r="S11" s="17"/>
      <c r="T11" s="17"/>
      <c r="U11" s="17"/>
      <c r="V11" s="17"/>
      <c r="W11" s="17"/>
      <c r="X11" s="17"/>
      <c r="Y11" s="17"/>
      <c r="Z11" s="15" t="s">
        <v>76</v>
      </c>
      <c r="AA11" s="15" t="s">
        <v>77</v>
      </c>
      <c r="AB11" s="15" t="s">
        <v>78</v>
      </c>
      <c r="AC11" s="19">
        <f ca="1" t="shared" si="0"/>
        <v>27</v>
      </c>
      <c r="AD11" s="18" t="str">
        <f ca="1" t="shared" si="1"/>
        <v>25-30岁</v>
      </c>
      <c r="AE11" s="21">
        <v>36057</v>
      </c>
      <c r="AF11" s="22"/>
      <c r="AG11" s="12"/>
      <c r="AH11" s="22"/>
      <c r="AI11" s="15" t="s">
        <v>79</v>
      </c>
      <c r="AJ11" s="15" t="s">
        <v>106</v>
      </c>
      <c r="AK11" s="15"/>
      <c r="AL11" s="27"/>
      <c r="AM11" s="17"/>
      <c r="AN11" s="15"/>
      <c r="AO11" s="19"/>
      <c r="AP11" s="31"/>
      <c r="AQ11" s="15"/>
      <c r="AR11" s="15"/>
      <c r="AS11" s="19"/>
      <c r="AT11" s="15"/>
      <c r="AU11" s="15"/>
      <c r="AV11" s="15"/>
      <c r="AW11" s="15"/>
      <c r="AX11" s="19"/>
      <c r="AY11" s="25">
        <v>45579</v>
      </c>
      <c r="AZ11" s="26">
        <f ca="1" t="shared" si="2"/>
        <v>1.41666666666667</v>
      </c>
      <c r="BA11" s="18" t="str">
        <f ca="1" t="shared" si="3"/>
        <v>0.5-2年</v>
      </c>
      <c r="BB11" s="15" t="s">
        <v>81</v>
      </c>
      <c r="BC11" s="25">
        <v>44047</v>
      </c>
      <c r="BD11" s="26">
        <f ca="1" t="shared" si="4"/>
        <v>5.66666666666667</v>
      </c>
      <c r="BE11" s="18" t="str">
        <f ca="1" t="shared" si="5"/>
        <v>5-7年</v>
      </c>
      <c r="BF11" s="25">
        <v>46673</v>
      </c>
      <c r="BG11" s="15" t="s">
        <v>82</v>
      </c>
      <c r="BH11" s="19" t="s">
        <v>83</v>
      </c>
      <c r="BI11" s="25">
        <v>45579</v>
      </c>
    </row>
    <row r="12" s="2" customFormat="1" ht="14.25" customHeight="1" spans="1:61">
      <c r="A12" s="15" t="s">
        <v>123</v>
      </c>
      <c r="B12" s="15" t="s">
        <v>62</v>
      </c>
      <c r="C12" s="15" t="s">
        <v>124</v>
      </c>
      <c r="D12" s="15" t="s">
        <v>124</v>
      </c>
      <c r="E12" s="15" t="s">
        <v>92</v>
      </c>
      <c r="F12" s="16">
        <v>45579</v>
      </c>
      <c r="G12" s="17" t="s">
        <v>104</v>
      </c>
      <c r="H12" s="18" t="s">
        <v>66</v>
      </c>
      <c r="I12" s="18" t="s">
        <v>67</v>
      </c>
      <c r="J12" s="19" t="s">
        <v>93</v>
      </c>
      <c r="K12" s="18" t="s">
        <v>94</v>
      </c>
      <c r="L12" s="15" t="s">
        <v>105</v>
      </c>
      <c r="M12" s="18" t="str">
        <f>VLOOKUP(C:C,'[1]1. 晋升基础条件审核表'!$B:$H,7,0)</f>
        <v>系统测试工程师</v>
      </c>
      <c r="N12" s="17" t="s">
        <v>72</v>
      </c>
      <c r="O12" s="17" t="s">
        <v>73</v>
      </c>
      <c r="P12" s="20" t="s">
        <v>96</v>
      </c>
      <c r="Q12" s="20" t="str">
        <f>VLOOKUP(C:C,'[1]1. 晋升基础条件审核表'!$B:$N,13,0)</f>
        <v>5-2</v>
      </c>
      <c r="R12" s="17" t="s">
        <v>75</v>
      </c>
      <c r="S12" s="17"/>
      <c r="T12" s="17"/>
      <c r="U12" s="17"/>
      <c r="V12" s="17"/>
      <c r="W12" s="17"/>
      <c r="X12" s="17"/>
      <c r="Y12" s="17"/>
      <c r="Z12" s="15" t="s">
        <v>76</v>
      </c>
      <c r="AA12" s="15" t="s">
        <v>77</v>
      </c>
      <c r="AB12" s="15" t="s">
        <v>78</v>
      </c>
      <c r="AC12" s="19">
        <f ca="1" t="shared" si="0"/>
        <v>27</v>
      </c>
      <c r="AD12" s="18" t="str">
        <f ca="1" t="shared" si="1"/>
        <v>25-30岁</v>
      </c>
      <c r="AE12" s="21">
        <v>36017</v>
      </c>
      <c r="AF12" s="22"/>
      <c r="AG12" s="12"/>
      <c r="AH12" s="22"/>
      <c r="AI12" s="15" t="s">
        <v>79</v>
      </c>
      <c r="AJ12" s="15" t="s">
        <v>106</v>
      </c>
      <c r="AK12" s="15"/>
      <c r="AL12" s="27"/>
      <c r="AM12" s="17"/>
      <c r="AN12" s="15"/>
      <c r="AO12" s="19"/>
      <c r="AP12" s="31"/>
      <c r="AQ12" s="15"/>
      <c r="AR12" s="15"/>
      <c r="AS12" s="19"/>
      <c r="AT12" s="15"/>
      <c r="AU12" s="15"/>
      <c r="AV12" s="15"/>
      <c r="AW12" s="15"/>
      <c r="AX12" s="19"/>
      <c r="AY12" s="25">
        <v>45579</v>
      </c>
      <c r="AZ12" s="26">
        <f ca="1" t="shared" si="2"/>
        <v>1.41666666666667</v>
      </c>
      <c r="BA12" s="18" t="str">
        <f ca="1" t="shared" si="3"/>
        <v>0.5-2年</v>
      </c>
      <c r="BB12" s="15" t="s">
        <v>81</v>
      </c>
      <c r="BC12" s="25">
        <v>44389</v>
      </c>
      <c r="BD12" s="26">
        <f ca="1" t="shared" si="4"/>
        <v>4.66666666666667</v>
      </c>
      <c r="BE12" s="18" t="str">
        <f ca="1" t="shared" si="5"/>
        <v>3-5年</v>
      </c>
      <c r="BF12" s="25">
        <v>46673</v>
      </c>
      <c r="BG12" s="15" t="s">
        <v>82</v>
      </c>
      <c r="BH12" s="19" t="s">
        <v>83</v>
      </c>
      <c r="BI12" s="25">
        <v>45579</v>
      </c>
    </row>
    <row r="13" s="2" customFormat="1" ht="14.25" customHeight="1" spans="1:61">
      <c r="A13" s="15" t="s">
        <v>125</v>
      </c>
      <c r="B13" s="15" t="s">
        <v>62</v>
      </c>
      <c r="C13" s="15" t="s">
        <v>126</v>
      </c>
      <c r="D13" s="15" t="s">
        <v>126</v>
      </c>
      <c r="E13" s="15" t="s">
        <v>64</v>
      </c>
      <c r="F13" s="16">
        <v>45600</v>
      </c>
      <c r="G13" s="17" t="s">
        <v>104</v>
      </c>
      <c r="H13" s="18" t="s">
        <v>66</v>
      </c>
      <c r="I13" s="18" t="s">
        <v>67</v>
      </c>
      <c r="J13" s="19" t="s">
        <v>86</v>
      </c>
      <c r="K13" s="18" t="s">
        <v>87</v>
      </c>
      <c r="L13" s="15" t="s">
        <v>127</v>
      </c>
      <c r="M13" s="18" t="s">
        <v>128</v>
      </c>
      <c r="N13" s="17" t="s">
        <v>72</v>
      </c>
      <c r="O13" s="17" t="s">
        <v>73</v>
      </c>
      <c r="P13" s="20" t="s">
        <v>74</v>
      </c>
      <c r="Q13" s="20" t="str">
        <f>VLOOKUP(C:C,'[1]1. 晋升基础条件审核表'!$B:$N,13,0)</f>
        <v>5-1</v>
      </c>
      <c r="R13" s="17" t="s">
        <v>75</v>
      </c>
      <c r="S13" s="17"/>
      <c r="T13" s="17"/>
      <c r="U13" s="17"/>
      <c r="V13" s="17"/>
      <c r="W13" s="17"/>
      <c r="X13" s="17"/>
      <c r="Y13" s="17"/>
      <c r="Z13" s="15" t="s">
        <v>76</v>
      </c>
      <c r="AA13" s="15" t="s">
        <v>77</v>
      </c>
      <c r="AB13" s="15" t="s">
        <v>78</v>
      </c>
      <c r="AC13" s="19">
        <f ca="1" t="shared" si="0"/>
        <v>36</v>
      </c>
      <c r="AD13" s="18" t="str">
        <f ca="1" t="shared" si="1"/>
        <v>35-40岁</v>
      </c>
      <c r="AE13" s="21">
        <v>32696</v>
      </c>
      <c r="AF13" s="22"/>
      <c r="AG13" s="12"/>
      <c r="AH13" s="22"/>
      <c r="AI13" s="15" t="s">
        <v>79</v>
      </c>
      <c r="AJ13" s="15" t="s">
        <v>106</v>
      </c>
      <c r="AK13" s="15"/>
      <c r="AL13" s="27"/>
      <c r="AM13" s="15"/>
      <c r="AN13" s="15"/>
      <c r="AO13" s="19"/>
      <c r="AP13" s="31"/>
      <c r="AQ13" s="15"/>
      <c r="AR13" s="15"/>
      <c r="AS13" s="19"/>
      <c r="AT13" s="15"/>
      <c r="AU13" s="15"/>
      <c r="AV13" s="15"/>
      <c r="AW13" s="15"/>
      <c r="AX13" s="19"/>
      <c r="AY13" s="25">
        <v>45600</v>
      </c>
      <c r="AZ13" s="26">
        <f ca="1" t="shared" si="2"/>
        <v>1.41666666666667</v>
      </c>
      <c r="BA13" s="18" t="str">
        <f ca="1" t="shared" si="3"/>
        <v>0.5-2年</v>
      </c>
      <c r="BB13" s="15" t="s">
        <v>81</v>
      </c>
      <c r="BC13" s="25">
        <v>41486</v>
      </c>
      <c r="BD13" s="26">
        <f ca="1" t="shared" si="4"/>
        <v>12.6666666666667</v>
      </c>
      <c r="BE13" s="18" t="str">
        <f ca="1" t="shared" si="5"/>
        <v>10-15年</v>
      </c>
      <c r="BF13" s="25">
        <v>46694</v>
      </c>
      <c r="BG13" s="15" t="s">
        <v>82</v>
      </c>
      <c r="BH13" s="19" t="s">
        <v>83</v>
      </c>
      <c r="BI13" s="25">
        <v>45600</v>
      </c>
    </row>
    <row r="14" s="2" customFormat="1" ht="14.25" customHeight="1" spans="1:61">
      <c r="A14" s="15" t="s">
        <v>129</v>
      </c>
      <c r="B14" s="15" t="s">
        <v>62</v>
      </c>
      <c r="C14" s="15" t="s">
        <v>130</v>
      </c>
      <c r="D14" s="15" t="s">
        <v>130</v>
      </c>
      <c r="E14" s="15" t="s">
        <v>64</v>
      </c>
      <c r="F14" s="16">
        <v>45614</v>
      </c>
      <c r="G14" s="17" t="s">
        <v>104</v>
      </c>
      <c r="H14" s="18" t="s">
        <v>66</v>
      </c>
      <c r="I14" s="18" t="s">
        <v>67</v>
      </c>
      <c r="J14" s="19" t="s">
        <v>68</v>
      </c>
      <c r="K14" s="18" t="s">
        <v>69</v>
      </c>
      <c r="L14" s="15" t="s">
        <v>131</v>
      </c>
      <c r="M14" s="18" t="s">
        <v>113</v>
      </c>
      <c r="N14" s="17" t="s">
        <v>72</v>
      </c>
      <c r="O14" s="17" t="s">
        <v>73</v>
      </c>
      <c r="P14" s="20" t="s">
        <v>74</v>
      </c>
      <c r="Q14" s="20" t="str">
        <f>VLOOKUP(C:C,'[1]1. 晋升基础条件审核表'!$B:$N,13,0)</f>
        <v>4-3</v>
      </c>
      <c r="R14" s="17" t="s">
        <v>75</v>
      </c>
      <c r="S14" s="17"/>
      <c r="T14" s="17"/>
      <c r="U14" s="17"/>
      <c r="V14" s="17"/>
      <c r="W14" s="17"/>
      <c r="X14" s="17"/>
      <c r="Y14" s="17"/>
      <c r="Z14" s="15" t="s">
        <v>76</v>
      </c>
      <c r="AA14" s="15" t="s">
        <v>77</v>
      </c>
      <c r="AB14" s="15" t="s">
        <v>78</v>
      </c>
      <c r="AC14" s="19">
        <f ca="1" t="shared" si="0"/>
        <v>40</v>
      </c>
      <c r="AD14" s="18" t="str">
        <f ca="1" t="shared" si="1"/>
        <v>35-40岁</v>
      </c>
      <c r="AE14" s="21">
        <v>31510</v>
      </c>
      <c r="AF14" s="22"/>
      <c r="AG14" s="12"/>
      <c r="AH14" s="22"/>
      <c r="AI14" s="15" t="s">
        <v>79</v>
      </c>
      <c r="AJ14" s="15" t="s">
        <v>80</v>
      </c>
      <c r="AK14" s="15"/>
      <c r="AL14" s="27"/>
      <c r="AM14" s="15"/>
      <c r="AN14" s="15"/>
      <c r="AO14" s="19"/>
      <c r="AP14" s="31"/>
      <c r="AQ14" s="15"/>
      <c r="AR14" s="15"/>
      <c r="AS14" s="19"/>
      <c r="AT14" s="15"/>
      <c r="AU14" s="15"/>
      <c r="AV14" s="15"/>
      <c r="AW14" s="15"/>
      <c r="AX14" s="19"/>
      <c r="AY14" s="25">
        <v>45614</v>
      </c>
      <c r="AZ14" s="26">
        <f ca="1" t="shared" si="2"/>
        <v>1.33333333333333</v>
      </c>
      <c r="BA14" s="18" t="str">
        <f ca="1" t="shared" si="3"/>
        <v>0.5-2年</v>
      </c>
      <c r="BB14" s="15" t="s">
        <v>81</v>
      </c>
      <c r="BC14" s="25">
        <v>41099</v>
      </c>
      <c r="BD14" s="26">
        <f ca="1" t="shared" si="4"/>
        <v>13.6666666666667</v>
      </c>
      <c r="BE14" s="18" t="str">
        <f ca="1" t="shared" si="5"/>
        <v>10-15年</v>
      </c>
      <c r="BF14" s="25">
        <v>46708</v>
      </c>
      <c r="BG14" s="15" t="s">
        <v>82</v>
      </c>
      <c r="BH14" s="19" t="s">
        <v>83</v>
      </c>
      <c r="BI14" s="25">
        <v>45614</v>
      </c>
    </row>
    <row r="15" s="2" customFormat="1" ht="14.25" customHeight="1" spans="1:61">
      <c r="A15" s="15" t="s">
        <v>132</v>
      </c>
      <c r="B15" s="15" t="s">
        <v>62</v>
      </c>
      <c r="C15" s="15" t="s">
        <v>133</v>
      </c>
      <c r="D15" s="15" t="s">
        <v>133</v>
      </c>
      <c r="E15" s="15" t="s">
        <v>64</v>
      </c>
      <c r="F15" s="16">
        <v>45623</v>
      </c>
      <c r="G15" s="17" t="s">
        <v>134</v>
      </c>
      <c r="H15" s="18" t="s">
        <v>66</v>
      </c>
      <c r="I15" s="18" t="s">
        <v>67</v>
      </c>
      <c r="J15" s="19" t="s">
        <v>68</v>
      </c>
      <c r="K15" s="18" t="s">
        <v>69</v>
      </c>
      <c r="L15" s="15" t="s">
        <v>131</v>
      </c>
      <c r="M15" s="18" t="s">
        <v>135</v>
      </c>
      <c r="N15" s="17" t="s">
        <v>72</v>
      </c>
      <c r="O15" s="17" t="s">
        <v>73</v>
      </c>
      <c r="P15" s="20" t="s">
        <v>74</v>
      </c>
      <c r="Q15" s="20" t="str">
        <f>VLOOKUP(C:C,'[1]1. 晋升基础条件审核表'!$B:$N,13,0)</f>
        <v>4-2</v>
      </c>
      <c r="R15" s="17" t="s">
        <v>75</v>
      </c>
      <c r="S15" s="17"/>
      <c r="T15" s="17"/>
      <c r="U15" s="17"/>
      <c r="V15" s="17"/>
      <c r="W15" s="17"/>
      <c r="X15" s="17"/>
      <c r="Y15" s="17"/>
      <c r="Z15" s="15" t="s">
        <v>136</v>
      </c>
      <c r="AA15" s="15" t="s">
        <v>77</v>
      </c>
      <c r="AB15" s="15" t="s">
        <v>78</v>
      </c>
      <c r="AC15" s="19">
        <f ca="1" t="shared" si="0"/>
        <v>40</v>
      </c>
      <c r="AD15" s="18" t="str">
        <f ca="1" t="shared" si="1"/>
        <v>35-40岁</v>
      </c>
      <c r="AE15" s="21">
        <v>31178</v>
      </c>
      <c r="AF15" s="22"/>
      <c r="AG15" s="12"/>
      <c r="AH15" s="22"/>
      <c r="AI15" s="15" t="s">
        <v>79</v>
      </c>
      <c r="AJ15" s="15" t="s">
        <v>137</v>
      </c>
      <c r="AK15" s="15"/>
      <c r="AL15" s="27"/>
      <c r="AM15" s="15"/>
      <c r="AN15" s="15"/>
      <c r="AO15" s="19"/>
      <c r="AP15" s="31"/>
      <c r="AQ15" s="15"/>
      <c r="AR15" s="15"/>
      <c r="AS15" s="19"/>
      <c r="AT15" s="15"/>
      <c r="AU15" s="15"/>
      <c r="AV15" s="15"/>
      <c r="AW15" s="15"/>
      <c r="AX15" s="19"/>
      <c r="AY15" s="25">
        <v>45623</v>
      </c>
      <c r="AZ15" s="26">
        <f ca="1" t="shared" si="2"/>
        <v>1.33333333333333</v>
      </c>
      <c r="BA15" s="18" t="str">
        <f ca="1" t="shared" si="3"/>
        <v>0.5-2年</v>
      </c>
      <c r="BB15" s="15" t="s">
        <v>81</v>
      </c>
      <c r="BC15" s="16">
        <v>39899</v>
      </c>
      <c r="BD15" s="26">
        <f ca="1" t="shared" si="4"/>
        <v>17</v>
      </c>
      <c r="BE15" s="18" t="str">
        <f ca="1" t="shared" si="5"/>
        <v>15年以上</v>
      </c>
      <c r="BF15" s="25">
        <v>46717</v>
      </c>
      <c r="BG15" s="15" t="s">
        <v>82</v>
      </c>
      <c r="BH15" s="19" t="s">
        <v>83</v>
      </c>
      <c r="BI15" s="25">
        <v>45623</v>
      </c>
    </row>
    <row r="16" s="2" customFormat="1" ht="14.25" customHeight="1" spans="1:61">
      <c r="A16" s="15" t="s">
        <v>138</v>
      </c>
      <c r="B16" s="15" t="s">
        <v>62</v>
      </c>
      <c r="C16" s="15" t="s">
        <v>139</v>
      </c>
      <c r="D16" s="15" t="s">
        <v>139</v>
      </c>
      <c r="E16" s="15" t="s">
        <v>64</v>
      </c>
      <c r="F16" s="16">
        <v>45628</v>
      </c>
      <c r="G16" s="17" t="s">
        <v>104</v>
      </c>
      <c r="H16" s="18" t="s">
        <v>66</v>
      </c>
      <c r="I16" s="18" t="s">
        <v>67</v>
      </c>
      <c r="J16" s="19" t="s">
        <v>68</v>
      </c>
      <c r="K16" s="18" t="s">
        <v>69</v>
      </c>
      <c r="L16" s="15" t="s">
        <v>112</v>
      </c>
      <c r="M16" s="18" t="s">
        <v>117</v>
      </c>
      <c r="N16" s="17" t="s">
        <v>72</v>
      </c>
      <c r="O16" s="17" t="s">
        <v>73</v>
      </c>
      <c r="P16" s="20" t="s">
        <v>74</v>
      </c>
      <c r="Q16" s="20" t="str">
        <f>VLOOKUP(C:C,'[1]1. 晋升基础条件审核表'!$B:$N,13,0)</f>
        <v>4-2</v>
      </c>
      <c r="R16" s="17" t="s">
        <v>75</v>
      </c>
      <c r="S16" s="17"/>
      <c r="T16" s="17"/>
      <c r="U16" s="17"/>
      <c r="V16" s="17"/>
      <c r="W16" s="17"/>
      <c r="X16" s="17"/>
      <c r="Y16" s="17"/>
      <c r="Z16" s="15" t="s">
        <v>76</v>
      </c>
      <c r="AA16" s="15" t="s">
        <v>77</v>
      </c>
      <c r="AB16" s="15" t="s">
        <v>78</v>
      </c>
      <c r="AC16" s="19">
        <f ca="1" t="shared" si="0"/>
        <v>38</v>
      </c>
      <c r="AD16" s="18" t="str">
        <f ca="1" t="shared" si="1"/>
        <v>35-40岁</v>
      </c>
      <c r="AE16" s="21">
        <v>32127</v>
      </c>
      <c r="AF16" s="22"/>
      <c r="AG16" s="12"/>
      <c r="AH16" s="22"/>
      <c r="AI16" s="15" t="s">
        <v>79</v>
      </c>
      <c r="AJ16" s="15" t="s">
        <v>106</v>
      </c>
      <c r="AK16" s="15"/>
      <c r="AL16" s="27"/>
      <c r="AM16" s="17"/>
      <c r="AN16" s="15"/>
      <c r="AO16" s="19"/>
      <c r="AP16" s="31"/>
      <c r="AQ16" s="15"/>
      <c r="AR16" s="15"/>
      <c r="AS16" s="19"/>
      <c r="AT16" s="15"/>
      <c r="AU16" s="15"/>
      <c r="AV16" s="15"/>
      <c r="AW16" s="15"/>
      <c r="AX16" s="19"/>
      <c r="AY16" s="25">
        <v>45628</v>
      </c>
      <c r="AZ16" s="26">
        <f ca="1" t="shared" si="2"/>
        <v>1.33333333333333</v>
      </c>
      <c r="BA16" s="18" t="str">
        <f ca="1" t="shared" si="3"/>
        <v>0.5-2年</v>
      </c>
      <c r="BB16" s="15" t="s">
        <v>81</v>
      </c>
      <c r="BC16" s="25">
        <v>40422</v>
      </c>
      <c r="BD16" s="26">
        <f ca="1" t="shared" si="4"/>
        <v>15.5833333333333</v>
      </c>
      <c r="BE16" s="18" t="str">
        <f ca="1" t="shared" si="5"/>
        <v>15年以上</v>
      </c>
      <c r="BF16" s="25">
        <v>46722</v>
      </c>
      <c r="BG16" s="15" t="s">
        <v>82</v>
      </c>
      <c r="BH16" s="19" t="s">
        <v>83</v>
      </c>
      <c r="BI16" s="25">
        <v>45628</v>
      </c>
    </row>
    <row r="17" s="2" customFormat="1" ht="14.25" customHeight="1" spans="1:61">
      <c r="A17" s="15" t="s">
        <v>140</v>
      </c>
      <c r="B17" s="15" t="s">
        <v>62</v>
      </c>
      <c r="C17" s="15" t="s">
        <v>141</v>
      </c>
      <c r="D17" s="15" t="s">
        <v>141</v>
      </c>
      <c r="E17" s="15" t="s">
        <v>64</v>
      </c>
      <c r="F17" s="16">
        <v>45644</v>
      </c>
      <c r="G17" s="17" t="s">
        <v>104</v>
      </c>
      <c r="H17" s="18" t="s">
        <v>66</v>
      </c>
      <c r="I17" s="18" t="s">
        <v>67</v>
      </c>
      <c r="J17" s="19" t="s">
        <v>68</v>
      </c>
      <c r="K17" s="18" t="s">
        <v>69</v>
      </c>
      <c r="L17" s="15" t="s">
        <v>120</v>
      </c>
      <c r="M17" s="18" t="str">
        <f>VLOOKUP(C:C,'[1]1. 晋升基础条件审核表'!$B:$H,7,0)</f>
        <v>算法与协议软件工程师</v>
      </c>
      <c r="N17" s="17" t="s">
        <v>72</v>
      </c>
      <c r="O17" s="17" t="s">
        <v>73</v>
      </c>
      <c r="P17" s="20" t="s">
        <v>74</v>
      </c>
      <c r="Q17" s="17" t="s">
        <v>142</v>
      </c>
      <c r="R17" s="17" t="s">
        <v>143</v>
      </c>
      <c r="S17" s="17"/>
      <c r="T17" s="17"/>
      <c r="U17" s="17"/>
      <c r="V17" s="17"/>
      <c r="W17" s="17"/>
      <c r="X17" s="17"/>
      <c r="Y17" s="17"/>
      <c r="Z17" s="15" t="s">
        <v>76</v>
      </c>
      <c r="AA17" s="15" t="s">
        <v>77</v>
      </c>
      <c r="AB17" s="15" t="s">
        <v>78</v>
      </c>
      <c r="AC17" s="19">
        <f ca="1" t="shared" si="0"/>
        <v>33</v>
      </c>
      <c r="AD17" s="18" t="str">
        <f ca="1" t="shared" si="1"/>
        <v>30-35岁</v>
      </c>
      <c r="AE17" s="21">
        <v>33739</v>
      </c>
      <c r="AF17" s="22"/>
      <c r="AG17" s="12"/>
      <c r="AH17" s="22"/>
      <c r="AI17" s="15" t="s">
        <v>79</v>
      </c>
      <c r="AJ17" s="15" t="s">
        <v>80</v>
      </c>
      <c r="AK17" s="15"/>
      <c r="AL17" s="27"/>
      <c r="AM17" s="17"/>
      <c r="AN17" s="15"/>
      <c r="AO17" s="19"/>
      <c r="AP17" s="31"/>
      <c r="AQ17" s="15"/>
      <c r="AR17" s="15"/>
      <c r="AS17" s="19"/>
      <c r="AT17" s="15"/>
      <c r="AU17" s="15"/>
      <c r="AV17" s="15"/>
      <c r="AW17" s="15"/>
      <c r="AX17" s="19"/>
      <c r="AY17" s="25">
        <v>45644</v>
      </c>
      <c r="AZ17" s="26">
        <f ca="1" t="shared" si="2"/>
        <v>1.25</v>
      </c>
      <c r="BA17" s="18" t="str">
        <f ca="1" t="shared" si="3"/>
        <v>0.5-2年</v>
      </c>
      <c r="BB17" s="15" t="s">
        <v>81</v>
      </c>
      <c r="BC17" s="25">
        <v>43647</v>
      </c>
      <c r="BD17" s="26">
        <f ca="1" t="shared" si="4"/>
        <v>6.75</v>
      </c>
      <c r="BE17" s="18" t="str">
        <f ca="1" t="shared" si="5"/>
        <v>5-7年</v>
      </c>
      <c r="BF17" s="25">
        <v>46738</v>
      </c>
      <c r="BG17" s="15" t="s">
        <v>82</v>
      </c>
      <c r="BH17" s="19" t="s">
        <v>83</v>
      </c>
      <c r="BI17" s="25">
        <v>45644</v>
      </c>
    </row>
    <row r="18" s="2" customFormat="1" ht="14.25" customHeight="1" spans="1:61">
      <c r="A18" s="15" t="s">
        <v>144</v>
      </c>
      <c r="B18" s="15" t="s">
        <v>62</v>
      </c>
      <c r="C18" s="15" t="s">
        <v>145</v>
      </c>
      <c r="D18" s="15" t="s">
        <v>145</v>
      </c>
      <c r="E18" s="15" t="s">
        <v>64</v>
      </c>
      <c r="F18" s="16">
        <v>45728</v>
      </c>
      <c r="G18" s="17" t="s">
        <v>104</v>
      </c>
      <c r="H18" s="18" t="s">
        <v>66</v>
      </c>
      <c r="I18" s="18" t="s">
        <v>67</v>
      </c>
      <c r="J18" s="19" t="s">
        <v>93</v>
      </c>
      <c r="K18" s="18" t="s">
        <v>94</v>
      </c>
      <c r="L18" s="15" t="s">
        <v>105</v>
      </c>
      <c r="M18" s="18" t="str">
        <f>VLOOKUP(C:C,'[1]1. 晋升基础条件审核表'!$B:$H,7,0)</f>
        <v>平台软件工程师</v>
      </c>
      <c r="N18" s="17" t="s">
        <v>72</v>
      </c>
      <c r="O18" s="17" t="s">
        <v>73</v>
      </c>
      <c r="P18" s="20" t="s">
        <v>74</v>
      </c>
      <c r="Q18" s="17" t="s">
        <v>146</v>
      </c>
      <c r="R18" s="17" t="s">
        <v>143</v>
      </c>
      <c r="S18" s="17"/>
      <c r="T18" s="17"/>
      <c r="U18" s="17"/>
      <c r="V18" s="17"/>
      <c r="W18" s="17"/>
      <c r="X18" s="17"/>
      <c r="Y18" s="17"/>
      <c r="Z18" s="15" t="s">
        <v>76</v>
      </c>
      <c r="AA18" s="15" t="s">
        <v>77</v>
      </c>
      <c r="AB18" s="15" t="s">
        <v>78</v>
      </c>
      <c r="AC18" s="19">
        <f ca="1" t="shared" si="0"/>
        <v>35</v>
      </c>
      <c r="AD18" s="18" t="str">
        <f ca="1" t="shared" si="1"/>
        <v>30-35岁</v>
      </c>
      <c r="AE18" s="21">
        <v>33077</v>
      </c>
      <c r="AF18" s="22"/>
      <c r="AG18" s="12"/>
      <c r="AH18" s="22"/>
      <c r="AI18" s="15" t="s">
        <v>79</v>
      </c>
      <c r="AJ18" s="15" t="s">
        <v>106</v>
      </c>
      <c r="AK18" s="15"/>
      <c r="AL18" s="33"/>
      <c r="AM18" s="15"/>
      <c r="AN18" s="15"/>
      <c r="AO18" s="19"/>
      <c r="AP18" s="31"/>
      <c r="AQ18" s="15"/>
      <c r="AR18" s="15"/>
      <c r="AS18" s="19"/>
      <c r="AT18" s="15"/>
      <c r="AU18" s="15"/>
      <c r="AV18" s="15"/>
      <c r="AW18" s="15"/>
      <c r="AX18" s="19"/>
      <c r="AY18" s="25">
        <v>45728</v>
      </c>
      <c r="AZ18" s="26">
        <f ca="1" t="shared" si="2"/>
        <v>1</v>
      </c>
      <c r="BA18" s="18" t="str">
        <f ca="1" t="shared" si="3"/>
        <v>0.5-2年</v>
      </c>
      <c r="BB18" s="15" t="s">
        <v>81</v>
      </c>
      <c r="BC18" s="25">
        <v>41821</v>
      </c>
      <c r="BD18" s="26">
        <f ca="1" t="shared" si="4"/>
        <v>11.75</v>
      </c>
      <c r="BE18" s="18" t="str">
        <f ca="1" t="shared" si="5"/>
        <v>10-15年</v>
      </c>
      <c r="BF18" s="25">
        <v>46823</v>
      </c>
      <c r="BG18" s="15" t="s">
        <v>82</v>
      </c>
      <c r="BH18" s="19" t="s">
        <v>83</v>
      </c>
      <c r="BI18" s="25">
        <v>45728</v>
      </c>
    </row>
    <row r="19" s="2" customFormat="1" ht="14.25" customHeight="1" spans="1:61">
      <c r="A19" s="15" t="s">
        <v>147</v>
      </c>
      <c r="B19" s="15" t="s">
        <v>62</v>
      </c>
      <c r="C19" s="15" t="s">
        <v>148</v>
      </c>
      <c r="D19" s="15" t="s">
        <v>148</v>
      </c>
      <c r="E19" s="15" t="s">
        <v>64</v>
      </c>
      <c r="F19" s="16">
        <v>45742</v>
      </c>
      <c r="G19" s="17" t="s">
        <v>104</v>
      </c>
      <c r="H19" s="18" t="s">
        <v>66</v>
      </c>
      <c r="I19" s="18" t="s">
        <v>67</v>
      </c>
      <c r="J19" s="19" t="s">
        <v>68</v>
      </c>
      <c r="K19" s="18" t="s">
        <v>69</v>
      </c>
      <c r="L19" s="15" t="s">
        <v>120</v>
      </c>
      <c r="M19" s="18" t="str">
        <f>VLOOKUP(C:C,'[1]1. 晋升基础条件审核表'!$B:$H,7,0)</f>
        <v>平台软件工程师</v>
      </c>
      <c r="N19" s="17" t="s">
        <v>122</v>
      </c>
      <c r="O19" s="17" t="s">
        <v>73</v>
      </c>
      <c r="P19" s="20" t="s">
        <v>74</v>
      </c>
      <c r="Q19" s="17" t="s">
        <v>142</v>
      </c>
      <c r="R19" s="17" t="s">
        <v>143</v>
      </c>
      <c r="S19" s="17"/>
      <c r="T19" s="17"/>
      <c r="U19" s="17"/>
      <c r="V19" s="17"/>
      <c r="W19" s="17"/>
      <c r="X19" s="17"/>
      <c r="Y19" s="17"/>
      <c r="Z19" s="15" t="s">
        <v>76</v>
      </c>
      <c r="AA19" s="15" t="s">
        <v>77</v>
      </c>
      <c r="AB19" s="15" t="s">
        <v>78</v>
      </c>
      <c r="AC19" s="19">
        <f ca="1" t="shared" si="0"/>
        <v>35</v>
      </c>
      <c r="AD19" s="18" t="str">
        <f ca="1" t="shared" si="1"/>
        <v>30-35岁</v>
      </c>
      <c r="AE19" s="21">
        <v>33156</v>
      </c>
      <c r="AF19" s="22"/>
      <c r="AG19" s="12"/>
      <c r="AH19" s="22"/>
      <c r="AI19" s="15" t="s">
        <v>79</v>
      </c>
      <c r="AJ19" s="15" t="s">
        <v>80</v>
      </c>
      <c r="AK19" s="15"/>
      <c r="AL19" s="33"/>
      <c r="AM19" s="15"/>
      <c r="AN19" s="15"/>
      <c r="AO19" s="19"/>
      <c r="AP19" s="31"/>
      <c r="AQ19" s="15"/>
      <c r="AR19" s="15"/>
      <c r="AS19" s="19"/>
      <c r="AT19" s="15"/>
      <c r="AU19" s="15"/>
      <c r="AV19" s="15"/>
      <c r="AW19" s="15"/>
      <c r="AX19" s="19"/>
      <c r="AY19" s="25">
        <v>45742</v>
      </c>
      <c r="AZ19" s="26">
        <f ca="1" t="shared" si="2"/>
        <v>1</v>
      </c>
      <c r="BA19" s="18" t="str">
        <f ca="1" t="shared" si="3"/>
        <v>0.5-2年</v>
      </c>
      <c r="BB19" s="15" t="s">
        <v>81</v>
      </c>
      <c r="BC19" s="25">
        <v>42920</v>
      </c>
      <c r="BD19" s="26">
        <f ca="1" t="shared" si="4"/>
        <v>8.75</v>
      </c>
      <c r="BE19" s="18" t="str">
        <f ca="1" t="shared" si="5"/>
        <v>7-10年</v>
      </c>
      <c r="BF19" s="25">
        <v>46837</v>
      </c>
      <c r="BG19" s="15" t="s">
        <v>82</v>
      </c>
      <c r="BH19" s="19" t="s">
        <v>83</v>
      </c>
      <c r="BI19" s="25">
        <v>45742</v>
      </c>
    </row>
    <row r="20" s="2" customFormat="1" ht="14.25" customHeight="1" spans="1:61">
      <c r="A20" s="15" t="s">
        <v>149</v>
      </c>
      <c r="B20" s="15" t="s">
        <v>62</v>
      </c>
      <c r="C20" s="15" t="s">
        <v>150</v>
      </c>
      <c r="D20" s="15" t="s">
        <v>150</v>
      </c>
      <c r="E20" s="15" t="s">
        <v>64</v>
      </c>
      <c r="F20" s="16">
        <v>45754</v>
      </c>
      <c r="G20" s="17" t="s">
        <v>104</v>
      </c>
      <c r="H20" s="18" t="s">
        <v>66</v>
      </c>
      <c r="I20" s="18" t="s">
        <v>67</v>
      </c>
      <c r="J20" s="19" t="s">
        <v>86</v>
      </c>
      <c r="K20" s="18" t="s">
        <v>87</v>
      </c>
      <c r="L20" s="15" t="s">
        <v>151</v>
      </c>
      <c r="M20" s="18" t="s">
        <v>152</v>
      </c>
      <c r="N20" s="17" t="s">
        <v>72</v>
      </c>
      <c r="O20" s="17" t="s">
        <v>73</v>
      </c>
      <c r="P20" s="20" t="s">
        <v>74</v>
      </c>
      <c r="Q20" s="17" t="s">
        <v>146</v>
      </c>
      <c r="R20" s="17" t="s">
        <v>143</v>
      </c>
      <c r="S20" s="17"/>
      <c r="T20" s="17"/>
      <c r="U20" s="17"/>
      <c r="V20" s="17"/>
      <c r="W20" s="17"/>
      <c r="X20" s="17"/>
      <c r="Y20" s="17"/>
      <c r="Z20" s="15" t="s">
        <v>76</v>
      </c>
      <c r="AA20" s="15" t="s">
        <v>77</v>
      </c>
      <c r="AB20" s="15" t="s">
        <v>78</v>
      </c>
      <c r="AC20" s="19">
        <f ca="1" t="shared" si="0"/>
        <v>46</v>
      </c>
      <c r="AD20" s="18" t="str">
        <f ca="1" t="shared" si="1"/>
        <v>45岁以上</v>
      </c>
      <c r="AE20" s="21">
        <v>29059</v>
      </c>
      <c r="AF20" s="22"/>
      <c r="AG20" s="12"/>
      <c r="AH20" s="22"/>
      <c r="AI20" s="15" t="s">
        <v>79</v>
      </c>
      <c r="AJ20" s="15" t="s">
        <v>106</v>
      </c>
      <c r="AK20" s="15"/>
      <c r="AL20" s="33"/>
      <c r="AM20" s="15"/>
      <c r="AN20" s="15"/>
      <c r="AO20" s="19"/>
      <c r="AP20" s="31"/>
      <c r="AQ20" s="15"/>
      <c r="AR20" s="15"/>
      <c r="AS20" s="19"/>
      <c r="AT20" s="15"/>
      <c r="AU20" s="15"/>
      <c r="AV20" s="15"/>
      <c r="AW20" s="15"/>
      <c r="AX20" s="19"/>
      <c r="AY20" s="25">
        <v>45754</v>
      </c>
      <c r="AZ20" s="26">
        <f ca="1" t="shared" si="2"/>
        <v>1</v>
      </c>
      <c r="BA20" s="18" t="str">
        <f ca="1" t="shared" si="3"/>
        <v>0.5-2年</v>
      </c>
      <c r="BB20" s="15" t="s">
        <v>81</v>
      </c>
      <c r="BC20" s="25">
        <v>38200</v>
      </c>
      <c r="BD20" s="26">
        <f ca="1" t="shared" si="4"/>
        <v>21.6666666666667</v>
      </c>
      <c r="BE20" s="18" t="str">
        <f ca="1" t="shared" si="5"/>
        <v>15年以上</v>
      </c>
      <c r="BF20" s="25">
        <v>46849</v>
      </c>
      <c r="BG20" s="15" t="s">
        <v>82</v>
      </c>
      <c r="BH20" s="19" t="s">
        <v>83</v>
      </c>
      <c r="BI20" s="25">
        <v>45754</v>
      </c>
    </row>
    <row r="21" s="2" customFormat="1" ht="14.25" customHeight="1" spans="1:61">
      <c r="A21" s="15" t="s">
        <v>153</v>
      </c>
      <c r="B21" s="15" t="s">
        <v>62</v>
      </c>
      <c r="C21" s="15" t="s">
        <v>154</v>
      </c>
      <c r="D21" s="15" t="s">
        <v>154</v>
      </c>
      <c r="E21" s="15" t="s">
        <v>64</v>
      </c>
      <c r="F21" s="16">
        <v>45756</v>
      </c>
      <c r="G21" s="17" t="s">
        <v>104</v>
      </c>
      <c r="H21" s="18" t="s">
        <v>66</v>
      </c>
      <c r="I21" s="18" t="s">
        <v>67</v>
      </c>
      <c r="J21" s="19" t="s">
        <v>93</v>
      </c>
      <c r="K21" s="18" t="s">
        <v>94</v>
      </c>
      <c r="L21" s="15" t="s">
        <v>105</v>
      </c>
      <c r="M21" s="18" t="str">
        <f>VLOOKUP(C:C,'[1]1. 晋升基础条件审核表'!$B:$H,7,0)</f>
        <v>平台硬件工程师</v>
      </c>
      <c r="N21" s="17" t="s">
        <v>72</v>
      </c>
      <c r="O21" s="17" t="s">
        <v>73</v>
      </c>
      <c r="P21" s="20" t="s">
        <v>74</v>
      </c>
      <c r="Q21" s="17" t="s">
        <v>146</v>
      </c>
      <c r="R21" s="17" t="s">
        <v>143</v>
      </c>
      <c r="S21" s="17"/>
      <c r="T21" s="17"/>
      <c r="U21" s="17"/>
      <c r="V21" s="17"/>
      <c r="W21" s="17"/>
      <c r="X21" s="17"/>
      <c r="Y21" s="17"/>
      <c r="Z21" s="15" t="s">
        <v>76</v>
      </c>
      <c r="AA21" s="15" t="s">
        <v>77</v>
      </c>
      <c r="AB21" s="15" t="s">
        <v>78</v>
      </c>
      <c r="AC21" s="19">
        <f ca="1" t="shared" si="0"/>
        <v>37</v>
      </c>
      <c r="AD21" s="18" t="str">
        <f ca="1" t="shared" si="1"/>
        <v>35-40岁</v>
      </c>
      <c r="AE21" s="21">
        <v>32517</v>
      </c>
      <c r="AF21" s="22"/>
      <c r="AG21" s="12"/>
      <c r="AH21" s="22"/>
      <c r="AI21" s="15" t="s">
        <v>79</v>
      </c>
      <c r="AJ21" s="15" t="s">
        <v>137</v>
      </c>
      <c r="AK21" s="15"/>
      <c r="AL21" s="33"/>
      <c r="AM21" s="15"/>
      <c r="AN21" s="15"/>
      <c r="AO21" s="19"/>
      <c r="AP21" s="31"/>
      <c r="AQ21" s="15"/>
      <c r="AR21" s="15"/>
      <c r="AS21" s="19"/>
      <c r="AT21" s="15"/>
      <c r="AU21" s="15"/>
      <c r="AV21" s="15"/>
      <c r="AW21" s="15"/>
      <c r="AX21" s="19"/>
      <c r="AY21" s="25">
        <v>45756</v>
      </c>
      <c r="AZ21" s="26">
        <f ca="1" t="shared" si="2"/>
        <v>0.916666666666667</v>
      </c>
      <c r="BA21" s="18" t="str">
        <f ca="1" t="shared" si="3"/>
        <v>0.5-2年</v>
      </c>
      <c r="BB21" s="15" t="s">
        <v>81</v>
      </c>
      <c r="BC21" s="25">
        <v>39971</v>
      </c>
      <c r="BD21" s="26">
        <f ca="1" t="shared" si="4"/>
        <v>16.8333333333333</v>
      </c>
      <c r="BE21" s="18" t="str">
        <f ca="1" t="shared" si="5"/>
        <v>15年以上</v>
      </c>
      <c r="BF21" s="25">
        <v>46851</v>
      </c>
      <c r="BG21" s="15" t="s">
        <v>82</v>
      </c>
      <c r="BH21" s="19" t="s">
        <v>83</v>
      </c>
      <c r="BI21" s="25">
        <v>45756</v>
      </c>
    </row>
    <row r="22" s="2" customFormat="1" ht="14.25" customHeight="1" spans="1:61">
      <c r="A22" s="15" t="s">
        <v>155</v>
      </c>
      <c r="B22" s="15" t="s">
        <v>62</v>
      </c>
      <c r="C22" s="15" t="s">
        <v>156</v>
      </c>
      <c r="D22" s="15" t="s">
        <v>156</v>
      </c>
      <c r="E22" s="15" t="s">
        <v>64</v>
      </c>
      <c r="F22" s="16">
        <v>45817</v>
      </c>
      <c r="G22" s="17" t="s">
        <v>104</v>
      </c>
      <c r="H22" s="18" t="s">
        <v>66</v>
      </c>
      <c r="I22" s="18" t="s">
        <v>67</v>
      </c>
      <c r="J22" s="19" t="s">
        <v>86</v>
      </c>
      <c r="K22" s="18" t="s">
        <v>87</v>
      </c>
      <c r="L22" s="15" t="s">
        <v>157</v>
      </c>
      <c r="M22" s="18" t="s">
        <v>158</v>
      </c>
      <c r="N22" s="17" t="s">
        <v>159</v>
      </c>
      <c r="O22" s="17" t="s">
        <v>73</v>
      </c>
      <c r="P22" s="20" t="s">
        <v>74</v>
      </c>
      <c r="Q22" s="17" t="s">
        <v>146</v>
      </c>
      <c r="R22" s="17" t="s">
        <v>143</v>
      </c>
      <c r="S22" s="17"/>
      <c r="T22" s="17"/>
      <c r="U22" s="17"/>
      <c r="V22" s="17"/>
      <c r="W22" s="17"/>
      <c r="X22" s="17"/>
      <c r="Y22" s="17"/>
      <c r="Z22" s="15" t="s">
        <v>76</v>
      </c>
      <c r="AA22" s="15" t="s">
        <v>77</v>
      </c>
      <c r="AB22" s="15" t="s">
        <v>78</v>
      </c>
      <c r="AC22" s="19">
        <f ca="1" t="shared" si="0"/>
        <v>40</v>
      </c>
      <c r="AD22" s="18" t="str">
        <f ca="1" t="shared" si="1"/>
        <v>35-40岁</v>
      </c>
      <c r="AE22" s="21">
        <v>31444</v>
      </c>
      <c r="AF22" s="22"/>
      <c r="AG22" s="12"/>
      <c r="AH22" s="22"/>
      <c r="AI22" s="15" t="s">
        <v>82</v>
      </c>
      <c r="AJ22" s="15" t="s">
        <v>80</v>
      </c>
      <c r="AK22" s="15"/>
      <c r="AL22" s="27"/>
      <c r="AM22" s="15"/>
      <c r="AN22" s="15"/>
      <c r="AO22" s="19"/>
      <c r="AP22" s="31"/>
      <c r="AQ22" s="15"/>
      <c r="AR22" s="19"/>
      <c r="AS22" s="15"/>
      <c r="AT22" s="15"/>
      <c r="AU22" s="19"/>
      <c r="AV22" s="15"/>
      <c r="AW22" s="15"/>
      <c r="AX22" s="19"/>
      <c r="AY22" s="25">
        <v>45817</v>
      </c>
      <c r="AZ22" s="26">
        <f ca="1" t="shared" si="2"/>
        <v>0.75</v>
      </c>
      <c r="BA22" s="18" t="str">
        <f ca="1" t="shared" si="3"/>
        <v>0.5-2年</v>
      </c>
      <c r="BB22" s="15" t="s">
        <v>81</v>
      </c>
      <c r="BC22" s="16">
        <v>40575</v>
      </c>
      <c r="BD22" s="26">
        <f ca="1" t="shared" si="4"/>
        <v>15.1666666666667</v>
      </c>
      <c r="BE22" s="18" t="str">
        <f ca="1" t="shared" si="5"/>
        <v>15年以上</v>
      </c>
      <c r="BF22" s="25">
        <v>46912</v>
      </c>
      <c r="BG22" s="15" t="s">
        <v>82</v>
      </c>
      <c r="BH22" s="19" t="s">
        <v>160</v>
      </c>
      <c r="BI22" s="25">
        <v>45817</v>
      </c>
    </row>
    <row r="23" s="1" customFormat="1" ht="14.25" customHeight="1" spans="1:61">
      <c r="A23" s="15" t="s">
        <v>61</v>
      </c>
      <c r="B23" s="15" t="s">
        <v>161</v>
      </c>
      <c r="C23" s="15" t="s">
        <v>63</v>
      </c>
      <c r="D23" s="15" t="s">
        <v>63</v>
      </c>
      <c r="E23" s="15" t="s">
        <v>64</v>
      </c>
      <c r="F23" s="16">
        <v>44186</v>
      </c>
      <c r="G23" s="17" t="s">
        <v>65</v>
      </c>
      <c r="H23" s="18" t="s">
        <v>66</v>
      </c>
      <c r="I23" s="18" t="s">
        <v>67</v>
      </c>
      <c r="J23" s="19" t="s">
        <v>68</v>
      </c>
      <c r="K23" s="18" t="s">
        <v>69</v>
      </c>
      <c r="L23" s="15" t="s">
        <v>70</v>
      </c>
      <c r="M23" s="18" t="s">
        <v>71</v>
      </c>
      <c r="N23" s="17" t="s">
        <v>72</v>
      </c>
      <c r="O23" s="17" t="s">
        <v>73</v>
      </c>
      <c r="P23" s="20" t="s">
        <v>74</v>
      </c>
      <c r="Q23" s="20" t="str">
        <f>VLOOKUP(C:C,'[1]1. 晋升基础条件审核表'!$B:$N,13,0)</f>
        <v>5-2</v>
      </c>
      <c r="R23" s="17" t="s">
        <v>75</v>
      </c>
      <c r="S23" s="17"/>
      <c r="T23" s="17"/>
      <c r="U23" s="17"/>
      <c r="V23" s="17"/>
      <c r="W23" s="17"/>
      <c r="X23" s="17"/>
      <c r="Y23" s="17"/>
      <c r="Z23" s="15" t="s">
        <v>76</v>
      </c>
      <c r="AA23" s="15" t="s">
        <v>77</v>
      </c>
      <c r="AB23" s="15" t="s">
        <v>78</v>
      </c>
      <c r="AC23" s="19">
        <f ca="1" t="shared" si="0"/>
        <v>46</v>
      </c>
      <c r="AD23" s="18" t="str">
        <f ca="1" t="shared" si="1"/>
        <v>45岁以上</v>
      </c>
      <c r="AE23" s="21">
        <v>29030</v>
      </c>
      <c r="AF23" s="22"/>
      <c r="AG23" s="12"/>
      <c r="AH23" s="22"/>
      <c r="AI23" s="15" t="s">
        <v>79</v>
      </c>
      <c r="AJ23" s="15" t="s">
        <v>80</v>
      </c>
      <c r="AK23" s="17"/>
      <c r="AL23" s="23"/>
      <c r="AM23" s="17"/>
      <c r="AN23" s="15"/>
      <c r="AO23" s="19"/>
      <c r="AP23" s="19"/>
      <c r="AQ23" s="15"/>
      <c r="AR23" s="15"/>
      <c r="AS23" s="19"/>
      <c r="AT23" s="15"/>
      <c r="AU23" s="15"/>
      <c r="AV23" s="24"/>
      <c r="AW23" s="15"/>
      <c r="AX23" s="19"/>
      <c r="AY23" s="25">
        <v>44186</v>
      </c>
      <c r="AZ23" s="26">
        <f ca="1" t="shared" si="2"/>
        <v>5.25</v>
      </c>
      <c r="BA23" s="18" t="str">
        <f ca="1" t="shared" si="3"/>
        <v>4-6年</v>
      </c>
      <c r="BB23" s="15" t="s">
        <v>81</v>
      </c>
      <c r="BC23" s="25">
        <v>37712</v>
      </c>
      <c r="BD23" s="26">
        <f ca="1" t="shared" si="4"/>
        <v>23</v>
      </c>
      <c r="BE23" s="18" t="str">
        <f ca="1" t="shared" si="5"/>
        <v>15年以上</v>
      </c>
      <c r="BF23" s="25">
        <v>47107</v>
      </c>
      <c r="BG23" s="15" t="s">
        <v>82</v>
      </c>
      <c r="BH23" s="19" t="s">
        <v>83</v>
      </c>
      <c r="BI23" s="25">
        <v>44186</v>
      </c>
    </row>
    <row r="24" s="1" customFormat="1" ht="14.25" customHeight="1" spans="1:61">
      <c r="A24" s="15" t="s">
        <v>84</v>
      </c>
      <c r="B24" s="15" t="s">
        <v>161</v>
      </c>
      <c r="C24" s="15" t="s">
        <v>85</v>
      </c>
      <c r="D24" s="15" t="s">
        <v>85</v>
      </c>
      <c r="E24" s="15" t="s">
        <v>64</v>
      </c>
      <c r="F24" s="16">
        <v>44426</v>
      </c>
      <c r="G24" s="17" t="s">
        <v>65</v>
      </c>
      <c r="H24" s="18" t="s">
        <v>66</v>
      </c>
      <c r="I24" s="18" t="s">
        <v>67</v>
      </c>
      <c r="J24" s="19" t="s">
        <v>86</v>
      </c>
      <c r="K24" s="18" t="s">
        <v>87</v>
      </c>
      <c r="L24" s="15" t="s">
        <v>88</v>
      </c>
      <c r="M24" s="18" t="s">
        <v>89</v>
      </c>
      <c r="N24" s="17" t="s">
        <v>72</v>
      </c>
      <c r="O24" s="17" t="s">
        <v>73</v>
      </c>
      <c r="P24" s="20" t="s">
        <v>74</v>
      </c>
      <c r="Q24" s="20" t="e">
        <f>VLOOKUP(C:C,'[1]1. 晋升基础条件审核表'!$B:$N,13,0)</f>
        <v>#N/A</v>
      </c>
      <c r="R24" s="17" t="s">
        <v>75</v>
      </c>
      <c r="S24" s="17"/>
      <c r="T24" s="17"/>
      <c r="U24" s="17"/>
      <c r="V24" s="17"/>
      <c r="W24" s="17"/>
      <c r="X24" s="17"/>
      <c r="Y24" s="17"/>
      <c r="Z24" s="15" t="s">
        <v>76</v>
      </c>
      <c r="AA24" s="15" t="s">
        <v>77</v>
      </c>
      <c r="AB24" s="15" t="s">
        <v>78</v>
      </c>
      <c r="AC24" s="19">
        <f ca="1" t="shared" si="0"/>
        <v>35</v>
      </c>
      <c r="AD24" s="18" t="str">
        <f ca="1" t="shared" si="1"/>
        <v>30-35岁</v>
      </c>
      <c r="AE24" s="21">
        <v>33121</v>
      </c>
      <c r="AF24" s="22"/>
      <c r="AG24" s="12"/>
      <c r="AH24" s="22"/>
      <c r="AI24" s="15" t="s">
        <v>79</v>
      </c>
      <c r="AJ24" s="15" t="s">
        <v>80</v>
      </c>
      <c r="AK24" s="17"/>
      <c r="AL24" s="27"/>
      <c r="AM24" s="17"/>
      <c r="AN24" s="15"/>
      <c r="AO24" s="19"/>
      <c r="AP24" s="19"/>
      <c r="AQ24" s="15"/>
      <c r="AR24" s="15"/>
      <c r="AS24" s="19"/>
      <c r="AT24" s="15"/>
      <c r="AU24" s="15"/>
      <c r="AV24" s="28"/>
      <c r="AW24" s="15"/>
      <c r="AX24" s="19"/>
      <c r="AY24" s="25">
        <v>44426</v>
      </c>
      <c r="AZ24" s="26">
        <f ca="1" t="shared" si="2"/>
        <v>4.58333333333333</v>
      </c>
      <c r="BA24" s="18" t="str">
        <f ca="1" t="shared" si="3"/>
        <v>4-6年</v>
      </c>
      <c r="BB24" s="15" t="s">
        <v>81</v>
      </c>
      <c r="BC24" s="25">
        <v>42095</v>
      </c>
      <c r="BD24" s="26">
        <f ca="1" t="shared" si="4"/>
        <v>11</v>
      </c>
      <c r="BE24" s="18" t="str">
        <f ca="1" t="shared" si="5"/>
        <v>10-15年</v>
      </c>
      <c r="BF24" s="25">
        <v>47347</v>
      </c>
      <c r="BG24" s="15" t="s">
        <v>82</v>
      </c>
      <c r="BH24" s="19" t="s">
        <v>83</v>
      </c>
      <c r="BI24" s="25">
        <v>44426</v>
      </c>
    </row>
    <row r="25" s="1" customFormat="1" ht="14.25" customHeight="1" spans="1:61">
      <c r="A25" s="15" t="s">
        <v>90</v>
      </c>
      <c r="B25" s="15" t="s">
        <v>161</v>
      </c>
      <c r="C25" s="15" t="s">
        <v>91</v>
      </c>
      <c r="D25" s="15" t="s">
        <v>91</v>
      </c>
      <c r="E25" s="15" t="s">
        <v>92</v>
      </c>
      <c r="F25" s="16">
        <v>44675</v>
      </c>
      <c r="G25" s="17" t="s">
        <v>65</v>
      </c>
      <c r="H25" s="18" t="s">
        <v>66</v>
      </c>
      <c r="I25" s="18" t="s">
        <v>67</v>
      </c>
      <c r="J25" s="19" t="s">
        <v>93</v>
      </c>
      <c r="K25" s="18" t="s">
        <v>94</v>
      </c>
      <c r="L25" s="15" t="s">
        <v>95</v>
      </c>
      <c r="M25" s="18" t="str">
        <f>VLOOKUP(C:C,'[1]1. 晋升基础条件审核表'!$B:$H,7,0)</f>
        <v>系统测试工程师</v>
      </c>
      <c r="N25" s="17" t="s">
        <v>72</v>
      </c>
      <c r="O25" s="17" t="s">
        <v>73</v>
      </c>
      <c r="P25" s="20" t="s">
        <v>96</v>
      </c>
      <c r="Q25" s="20" t="e">
        <f>VLOOKUP(C:C,'[1]1. 晋升基础条件审核表'!$B:$N,13,0)</f>
        <v>#N/A</v>
      </c>
      <c r="R25" s="17" t="s">
        <v>75</v>
      </c>
      <c r="S25" s="17"/>
      <c r="T25" s="17"/>
      <c r="U25" s="17"/>
      <c r="V25" s="17"/>
      <c r="W25" s="17"/>
      <c r="X25" s="17"/>
      <c r="Y25" s="17"/>
      <c r="Z25" s="15" t="s">
        <v>76</v>
      </c>
      <c r="AA25" s="15" t="s">
        <v>77</v>
      </c>
      <c r="AB25" s="15" t="s">
        <v>78</v>
      </c>
      <c r="AC25" s="19">
        <f ca="1" t="shared" si="0"/>
        <v>37</v>
      </c>
      <c r="AD25" s="18" t="str">
        <f ca="1" t="shared" si="1"/>
        <v>35-40岁</v>
      </c>
      <c r="AE25" s="21">
        <v>32424</v>
      </c>
      <c r="AF25" s="22"/>
      <c r="AG25" s="12"/>
      <c r="AH25" s="22"/>
      <c r="AI25" s="15" t="s">
        <v>79</v>
      </c>
      <c r="AJ25" s="15" t="s">
        <v>80</v>
      </c>
      <c r="AK25" s="17"/>
      <c r="AL25" s="27"/>
      <c r="AM25" s="17"/>
      <c r="AN25" s="15"/>
      <c r="AO25" s="19"/>
      <c r="AP25" s="19"/>
      <c r="AQ25" s="15"/>
      <c r="AR25" s="15"/>
      <c r="AS25" s="19"/>
      <c r="AT25" s="15"/>
      <c r="AU25" s="15"/>
      <c r="AV25" s="15"/>
      <c r="AW25" s="15"/>
      <c r="AX25" s="19"/>
      <c r="AY25" s="25">
        <v>44675</v>
      </c>
      <c r="AZ25" s="26">
        <f ca="1" t="shared" si="2"/>
        <v>3.91666666666667</v>
      </c>
      <c r="BA25" s="18" t="str">
        <f ca="1" t="shared" si="3"/>
        <v>2-4年</v>
      </c>
      <c r="BB25" s="15" t="s">
        <v>81</v>
      </c>
      <c r="BC25" s="25">
        <v>42443</v>
      </c>
      <c r="BD25" s="26">
        <f ca="1" t="shared" si="4"/>
        <v>10</v>
      </c>
      <c r="BE25" s="18" t="str">
        <f ca="1" t="shared" si="5"/>
        <v>7-10年</v>
      </c>
      <c r="BF25" s="25">
        <v>46105</v>
      </c>
      <c r="BG25" s="15" t="s">
        <v>82</v>
      </c>
      <c r="BH25" s="19" t="s">
        <v>83</v>
      </c>
      <c r="BI25" s="25">
        <v>44675</v>
      </c>
    </row>
    <row r="26" s="2" customFormat="1" ht="14.25" customHeight="1" spans="1:61">
      <c r="A26" s="15" t="s">
        <v>97</v>
      </c>
      <c r="B26" s="15" t="s">
        <v>161</v>
      </c>
      <c r="C26" s="15" t="s">
        <v>98</v>
      </c>
      <c r="D26" s="15" t="s">
        <v>98</v>
      </c>
      <c r="E26" s="15" t="s">
        <v>64</v>
      </c>
      <c r="F26" s="16">
        <v>44774</v>
      </c>
      <c r="G26" s="17" t="s">
        <v>65</v>
      </c>
      <c r="H26" s="18" t="s">
        <v>66</v>
      </c>
      <c r="I26" s="18" t="s">
        <v>67</v>
      </c>
      <c r="J26" s="19" t="s">
        <v>68</v>
      </c>
      <c r="K26" s="18" t="s">
        <v>82</v>
      </c>
      <c r="L26" s="15" t="s">
        <v>99</v>
      </c>
      <c r="M26" s="18" t="str">
        <f>VLOOKUP(C:C,'[1]1. 晋升基础条件审核表'!$B:$H,7,0)</f>
        <v>平台软件工程师</v>
      </c>
      <c r="N26" s="17" t="s">
        <v>72</v>
      </c>
      <c r="O26" s="17" t="s">
        <v>100</v>
      </c>
      <c r="P26" s="20" t="s">
        <v>74</v>
      </c>
      <c r="Q26" s="20" t="e">
        <f>VLOOKUP(C:C,'[1]1. 晋升基础条件审核表'!$B:$N,13,0)</f>
        <v>#N/A</v>
      </c>
      <c r="R26" s="17" t="s">
        <v>75</v>
      </c>
      <c r="S26" s="17"/>
      <c r="T26" s="17"/>
      <c r="U26" s="17"/>
      <c r="V26" s="17"/>
      <c r="W26" s="17" t="s">
        <v>101</v>
      </c>
      <c r="X26" s="29">
        <v>45458</v>
      </c>
      <c r="Y26" s="17"/>
      <c r="Z26" s="15" t="s">
        <v>76</v>
      </c>
      <c r="AA26" s="15" t="s">
        <v>77</v>
      </c>
      <c r="AB26" s="15" t="s">
        <v>78</v>
      </c>
      <c r="AC26" s="19">
        <f ca="1" t="shared" si="0"/>
        <v>34</v>
      </c>
      <c r="AD26" s="18" t="str">
        <f ca="1" t="shared" si="1"/>
        <v>30-35岁</v>
      </c>
      <c r="AE26" s="21">
        <v>33402</v>
      </c>
      <c r="AF26" s="22"/>
      <c r="AG26" s="12"/>
      <c r="AH26" s="22"/>
      <c r="AI26" s="15" t="s">
        <v>79</v>
      </c>
      <c r="AJ26" s="15" t="s">
        <v>80</v>
      </c>
      <c r="AK26" s="17"/>
      <c r="AL26" s="27"/>
      <c r="AM26" s="17"/>
      <c r="AN26" s="15"/>
      <c r="AO26" s="19"/>
      <c r="AP26" s="19"/>
      <c r="AQ26" s="15"/>
      <c r="AR26" s="15"/>
      <c r="AS26" s="19"/>
      <c r="AT26" s="15"/>
      <c r="AU26" s="15"/>
      <c r="AV26" s="28"/>
      <c r="AW26" s="15"/>
      <c r="AX26" s="19"/>
      <c r="AY26" s="25">
        <v>44774</v>
      </c>
      <c r="AZ26" s="26">
        <f ca="1" t="shared" si="2"/>
        <v>3.66666666666667</v>
      </c>
      <c r="BA26" s="18" t="str">
        <f ca="1" t="shared" si="3"/>
        <v>2-4年</v>
      </c>
      <c r="BB26" s="15" t="s">
        <v>81</v>
      </c>
      <c r="BC26" s="30">
        <v>43291</v>
      </c>
      <c r="BD26" s="26">
        <f ca="1" t="shared" si="4"/>
        <v>7.66666666666667</v>
      </c>
      <c r="BE26" s="18" t="str">
        <f ca="1" t="shared" si="5"/>
        <v>7-10年</v>
      </c>
      <c r="BF26" s="25">
        <v>47695</v>
      </c>
      <c r="BG26" s="15" t="s">
        <v>82</v>
      </c>
      <c r="BH26" s="19" t="s">
        <v>83</v>
      </c>
      <c r="BI26" s="25">
        <v>44774</v>
      </c>
    </row>
    <row r="27" s="2" customFormat="1" ht="14.25" customHeight="1" spans="1:61">
      <c r="A27" s="15" t="s">
        <v>102</v>
      </c>
      <c r="B27" s="15" t="s">
        <v>161</v>
      </c>
      <c r="C27" s="15" t="s">
        <v>103</v>
      </c>
      <c r="D27" s="15" t="s">
        <v>103</v>
      </c>
      <c r="E27" s="15" t="s">
        <v>64</v>
      </c>
      <c r="F27" s="16">
        <v>45425</v>
      </c>
      <c r="G27" s="17" t="s">
        <v>104</v>
      </c>
      <c r="H27" s="18" t="s">
        <v>66</v>
      </c>
      <c r="I27" s="18" t="s">
        <v>67</v>
      </c>
      <c r="J27" s="19" t="s">
        <v>93</v>
      </c>
      <c r="K27" s="18" t="s">
        <v>82</v>
      </c>
      <c r="L27" s="15" t="s">
        <v>105</v>
      </c>
      <c r="M27" s="18" t="str">
        <f>VLOOKUP(C:C,'[1]1. 晋升基础条件审核表'!$B:$H,7,0)</f>
        <v>算法与协议软件工程师</v>
      </c>
      <c r="N27" s="17" t="s">
        <v>72</v>
      </c>
      <c r="O27" s="17" t="s">
        <v>100</v>
      </c>
      <c r="P27" s="20" t="s">
        <v>74</v>
      </c>
      <c r="Q27" s="20" t="e">
        <f>VLOOKUP(C:C,'[1]1. 晋升基础条件审核表'!$B:$N,13,0)</f>
        <v>#N/A</v>
      </c>
      <c r="R27" s="17" t="s">
        <v>75</v>
      </c>
      <c r="S27" s="17"/>
      <c r="T27" s="17"/>
      <c r="U27" s="17"/>
      <c r="V27" s="17"/>
      <c r="W27" s="17" t="s">
        <v>101</v>
      </c>
      <c r="X27" s="29">
        <v>45666</v>
      </c>
      <c r="Y27" s="17"/>
      <c r="Z27" s="15" t="s">
        <v>76</v>
      </c>
      <c r="AA27" s="15" t="s">
        <v>77</v>
      </c>
      <c r="AB27" s="15" t="s">
        <v>78</v>
      </c>
      <c r="AC27" s="19">
        <f ca="1" t="shared" si="0"/>
        <v>33</v>
      </c>
      <c r="AD27" s="18" t="str">
        <f ca="1" t="shared" si="1"/>
        <v>30-35岁</v>
      </c>
      <c r="AE27" s="21">
        <v>33994</v>
      </c>
      <c r="AF27" s="22"/>
      <c r="AG27" s="12"/>
      <c r="AH27" s="22"/>
      <c r="AI27" s="15" t="s">
        <v>79</v>
      </c>
      <c r="AJ27" s="15" t="s">
        <v>106</v>
      </c>
      <c r="AK27" s="15"/>
      <c r="AL27" s="27"/>
      <c r="AM27" s="17"/>
      <c r="AN27" s="15"/>
      <c r="AO27" s="19"/>
      <c r="AP27" s="31"/>
      <c r="AQ27" s="15"/>
      <c r="AR27" s="15"/>
      <c r="AS27" s="19"/>
      <c r="AT27" s="15"/>
      <c r="AU27" s="15"/>
      <c r="AV27" s="15"/>
      <c r="AW27" s="15"/>
      <c r="AX27" s="19"/>
      <c r="AY27" s="25">
        <v>45425</v>
      </c>
      <c r="AZ27" s="26">
        <f ca="1" t="shared" si="2"/>
        <v>1.83333333333333</v>
      </c>
      <c r="BA27" s="18" t="str">
        <f ca="1" t="shared" si="3"/>
        <v>0.5-2年</v>
      </c>
      <c r="BB27" s="15" t="s">
        <v>81</v>
      </c>
      <c r="BC27" s="25">
        <v>42287</v>
      </c>
      <c r="BD27" s="26">
        <f ca="1" t="shared" si="4"/>
        <v>10.4166666666667</v>
      </c>
      <c r="BE27" s="18" t="str">
        <f ca="1" t="shared" si="5"/>
        <v>10-15年</v>
      </c>
      <c r="BF27" s="25">
        <v>46519</v>
      </c>
      <c r="BG27" s="15" t="s">
        <v>82</v>
      </c>
      <c r="BH27" s="19" t="s">
        <v>83</v>
      </c>
      <c r="BI27" s="25">
        <v>45425</v>
      </c>
    </row>
    <row r="28" s="2" customFormat="1" ht="14.25" customHeight="1" spans="1:61">
      <c r="A28" s="15" t="s">
        <v>107</v>
      </c>
      <c r="B28" s="15" t="s">
        <v>161</v>
      </c>
      <c r="C28" s="15" t="s">
        <v>108</v>
      </c>
      <c r="D28" s="15" t="s">
        <v>108</v>
      </c>
      <c r="E28" s="15" t="s">
        <v>64</v>
      </c>
      <c r="F28" s="16">
        <v>45446</v>
      </c>
      <c r="G28" s="17" t="s">
        <v>104</v>
      </c>
      <c r="H28" s="18" t="s">
        <v>66</v>
      </c>
      <c r="I28" s="18" t="s">
        <v>67</v>
      </c>
      <c r="J28" s="19" t="s">
        <v>93</v>
      </c>
      <c r="K28" s="18" t="s">
        <v>94</v>
      </c>
      <c r="L28" s="15" t="s">
        <v>109</v>
      </c>
      <c r="M28" s="18" t="e">
        <f>VLOOKUP(C:C,'[1]1. 晋升基础条件审核表'!$B:$H,7,0)</f>
        <v>#N/A</v>
      </c>
      <c r="N28" s="17" t="s">
        <v>72</v>
      </c>
      <c r="O28" s="17" t="s">
        <v>73</v>
      </c>
      <c r="P28" s="20" t="s">
        <v>96</v>
      </c>
      <c r="Q28" s="20" t="e">
        <f>VLOOKUP(C:C,'[1]1. 晋升基础条件审核表'!$B:$N,13,0)</f>
        <v>#N/A</v>
      </c>
      <c r="R28" s="17" t="s">
        <v>75</v>
      </c>
      <c r="S28" s="17"/>
      <c r="T28" s="17"/>
      <c r="U28" s="17"/>
      <c r="V28" s="17"/>
      <c r="W28" s="17"/>
      <c r="X28" s="17"/>
      <c r="Y28" s="17"/>
      <c r="Z28" s="15" t="s">
        <v>76</v>
      </c>
      <c r="AA28" s="15" t="s">
        <v>77</v>
      </c>
      <c r="AB28" s="15" t="s">
        <v>78</v>
      </c>
      <c r="AC28" s="19">
        <f ca="1" t="shared" si="0"/>
        <v>26</v>
      </c>
      <c r="AD28" s="18" t="str">
        <f ca="1" t="shared" si="1"/>
        <v>25-30岁</v>
      </c>
      <c r="AE28" s="21">
        <v>36412</v>
      </c>
      <c r="AF28" s="22"/>
      <c r="AG28" s="12"/>
      <c r="AH28" s="22"/>
      <c r="AI28" s="15" t="s">
        <v>79</v>
      </c>
      <c r="AJ28" s="15" t="s">
        <v>106</v>
      </c>
      <c r="AK28" s="15"/>
      <c r="AL28" s="27"/>
      <c r="AM28" s="17"/>
      <c r="AN28" s="15"/>
      <c r="AO28" s="19"/>
      <c r="AP28" s="31"/>
      <c r="AQ28" s="15"/>
      <c r="AR28" s="15"/>
      <c r="AS28" s="19"/>
      <c r="AT28" s="15"/>
      <c r="AU28" s="15"/>
      <c r="AV28" s="15"/>
      <c r="AW28" s="15"/>
      <c r="AX28" s="19"/>
      <c r="AY28" s="25">
        <v>45446</v>
      </c>
      <c r="AZ28" s="26">
        <f ca="1" t="shared" si="2"/>
        <v>1.83333333333333</v>
      </c>
      <c r="BA28" s="18" t="str">
        <f ca="1" t="shared" si="3"/>
        <v>0.5-2年</v>
      </c>
      <c r="BB28" s="15" t="s">
        <v>81</v>
      </c>
      <c r="BC28" s="25">
        <v>44375</v>
      </c>
      <c r="BD28" s="26">
        <f ca="1" t="shared" si="4"/>
        <v>4.75</v>
      </c>
      <c r="BE28" s="18" t="str">
        <f ca="1" t="shared" si="5"/>
        <v>3-5年</v>
      </c>
      <c r="BF28" s="25">
        <v>46540</v>
      </c>
      <c r="BG28" s="15" t="s">
        <v>82</v>
      </c>
      <c r="BH28" s="19" t="s">
        <v>83</v>
      </c>
      <c r="BI28" s="25">
        <v>45446</v>
      </c>
    </row>
    <row r="29" s="2" customFormat="1" ht="14.25" customHeight="1" spans="1:61">
      <c r="A29" s="15" t="s">
        <v>110</v>
      </c>
      <c r="B29" s="15" t="s">
        <v>161</v>
      </c>
      <c r="C29" s="32" t="s">
        <v>111</v>
      </c>
      <c r="D29" s="32" t="s">
        <v>111</v>
      </c>
      <c r="E29" s="15" t="s">
        <v>64</v>
      </c>
      <c r="F29" s="16">
        <v>45462</v>
      </c>
      <c r="G29" s="17" t="s">
        <v>104</v>
      </c>
      <c r="H29" s="18" t="s">
        <v>66</v>
      </c>
      <c r="I29" s="18" t="s">
        <v>67</v>
      </c>
      <c r="J29" s="19" t="s">
        <v>68</v>
      </c>
      <c r="K29" s="18" t="s">
        <v>69</v>
      </c>
      <c r="L29" s="15" t="s">
        <v>112</v>
      </c>
      <c r="M29" s="18" t="s">
        <v>113</v>
      </c>
      <c r="N29" s="17" t="s">
        <v>72</v>
      </c>
      <c r="O29" s="17" t="s">
        <v>73</v>
      </c>
      <c r="P29" s="20" t="s">
        <v>96</v>
      </c>
      <c r="Q29" s="20" t="e">
        <f>VLOOKUP(C:C,'[1]1. 晋升基础条件审核表'!$B:$N,13,0)</f>
        <v>#N/A</v>
      </c>
      <c r="R29" s="17" t="s">
        <v>75</v>
      </c>
      <c r="S29" s="17"/>
      <c r="T29" s="17"/>
      <c r="U29" s="17"/>
      <c r="V29" s="17"/>
      <c r="W29" s="17"/>
      <c r="X29" s="17"/>
      <c r="Y29" s="17"/>
      <c r="Z29" s="15" t="s">
        <v>76</v>
      </c>
      <c r="AA29" s="15" t="s">
        <v>77</v>
      </c>
      <c r="AB29" s="15" t="s">
        <v>78</v>
      </c>
      <c r="AC29" s="19">
        <f ca="1" t="shared" si="0"/>
        <v>28</v>
      </c>
      <c r="AD29" s="18" t="str">
        <f ca="1" t="shared" si="1"/>
        <v>25-30岁</v>
      </c>
      <c r="AE29" s="21">
        <v>35732</v>
      </c>
      <c r="AF29" s="22"/>
      <c r="AG29" s="12"/>
      <c r="AH29" s="22"/>
      <c r="AI29" s="15" t="s">
        <v>79</v>
      </c>
      <c r="AJ29" s="15" t="s">
        <v>106</v>
      </c>
      <c r="AK29" s="15"/>
      <c r="AL29" s="27"/>
      <c r="AM29" s="17"/>
      <c r="AN29" s="15"/>
      <c r="AO29" s="19"/>
      <c r="AP29" s="31"/>
      <c r="AQ29" s="15"/>
      <c r="AR29" s="15"/>
      <c r="AS29" s="19"/>
      <c r="AT29" s="15"/>
      <c r="AU29" s="15"/>
      <c r="AV29" s="15"/>
      <c r="AW29" s="15"/>
      <c r="AX29" s="19"/>
      <c r="AY29" s="25">
        <v>45462</v>
      </c>
      <c r="AZ29" s="26">
        <f ca="1" t="shared" si="2"/>
        <v>1.75</v>
      </c>
      <c r="BA29" s="18" t="str">
        <f ca="1" t="shared" si="3"/>
        <v>0.5-2年</v>
      </c>
      <c r="BB29" s="15" t="s">
        <v>81</v>
      </c>
      <c r="BC29" s="25">
        <v>43997</v>
      </c>
      <c r="BD29" s="26">
        <f ca="1" t="shared" si="4"/>
        <v>5.75</v>
      </c>
      <c r="BE29" s="18" t="str">
        <f ca="1" t="shared" si="5"/>
        <v>5-7年</v>
      </c>
      <c r="BF29" s="25">
        <v>46556</v>
      </c>
      <c r="BG29" s="15" t="s">
        <v>82</v>
      </c>
      <c r="BH29" s="19" t="s">
        <v>83</v>
      </c>
      <c r="BI29" s="25">
        <v>45462</v>
      </c>
    </row>
    <row r="30" s="2" customFormat="1" ht="14.25" customHeight="1" spans="1:61">
      <c r="A30" s="15" t="s">
        <v>114</v>
      </c>
      <c r="B30" s="15" t="s">
        <v>161</v>
      </c>
      <c r="C30" s="15" t="s">
        <v>115</v>
      </c>
      <c r="D30" s="15" t="s">
        <v>115</v>
      </c>
      <c r="E30" s="15" t="s">
        <v>64</v>
      </c>
      <c r="F30" s="16">
        <v>45516</v>
      </c>
      <c r="G30" s="17" t="s">
        <v>104</v>
      </c>
      <c r="H30" s="18" t="s">
        <v>66</v>
      </c>
      <c r="I30" s="18" t="s">
        <v>67</v>
      </c>
      <c r="J30" s="19" t="s">
        <v>68</v>
      </c>
      <c r="K30" s="18" t="s">
        <v>69</v>
      </c>
      <c r="L30" s="15" t="s">
        <v>116</v>
      </c>
      <c r="M30" s="18" t="s">
        <v>117</v>
      </c>
      <c r="N30" s="17" t="s">
        <v>72</v>
      </c>
      <c r="O30" s="17" t="s">
        <v>73</v>
      </c>
      <c r="P30" s="20" t="s">
        <v>74</v>
      </c>
      <c r="Q30" s="20" t="str">
        <f>VLOOKUP(C:C,'[1]1. 晋升基础条件审核表'!$B:$N,13,0)</f>
        <v>5-1</v>
      </c>
      <c r="R30" s="17" t="s">
        <v>75</v>
      </c>
      <c r="S30" s="17"/>
      <c r="T30" s="17"/>
      <c r="U30" s="17"/>
      <c r="V30" s="17"/>
      <c r="W30" s="17"/>
      <c r="X30" s="17"/>
      <c r="Y30" s="17"/>
      <c r="Z30" s="15" t="s">
        <v>76</v>
      </c>
      <c r="AA30" s="15" t="s">
        <v>77</v>
      </c>
      <c r="AB30" s="15" t="s">
        <v>78</v>
      </c>
      <c r="AC30" s="19">
        <f ca="1" t="shared" si="0"/>
        <v>37</v>
      </c>
      <c r="AD30" s="18" t="str">
        <f ca="1" t="shared" si="1"/>
        <v>35-40岁</v>
      </c>
      <c r="AE30" s="21">
        <v>32411</v>
      </c>
      <c r="AF30" s="22"/>
      <c r="AG30" s="12"/>
      <c r="AH30" s="22"/>
      <c r="AI30" s="15" t="s">
        <v>79</v>
      </c>
      <c r="AJ30" s="15" t="s">
        <v>106</v>
      </c>
      <c r="AK30" s="15"/>
      <c r="AL30" s="27"/>
      <c r="AM30" s="17"/>
      <c r="AN30" s="15"/>
      <c r="AO30" s="19"/>
      <c r="AP30" s="31"/>
      <c r="AQ30" s="15"/>
      <c r="AR30" s="15"/>
      <c r="AS30" s="19"/>
      <c r="AT30" s="15"/>
      <c r="AU30" s="15"/>
      <c r="AV30" s="15"/>
      <c r="AW30" s="15"/>
      <c r="AX30" s="19"/>
      <c r="AY30" s="25">
        <v>45516</v>
      </c>
      <c r="AZ30" s="26">
        <f ca="1" t="shared" si="2"/>
        <v>1.58333333333333</v>
      </c>
      <c r="BA30" s="18" t="str">
        <f ca="1" t="shared" si="3"/>
        <v>0.5-2年</v>
      </c>
      <c r="BB30" s="15" t="s">
        <v>81</v>
      </c>
      <c r="BC30" s="25">
        <v>41456</v>
      </c>
      <c r="BD30" s="26">
        <f ca="1" t="shared" si="4"/>
        <v>12.75</v>
      </c>
      <c r="BE30" s="18" t="str">
        <f ca="1" t="shared" si="5"/>
        <v>10-15年</v>
      </c>
      <c r="BF30" s="25">
        <v>46610</v>
      </c>
      <c r="BG30" s="15" t="s">
        <v>82</v>
      </c>
      <c r="BH30" s="19" t="s">
        <v>83</v>
      </c>
      <c r="BI30" s="25">
        <v>45516</v>
      </c>
    </row>
    <row r="31" s="2" customFormat="1" ht="14.25" customHeight="1" spans="1:61">
      <c r="A31" s="15" t="s">
        <v>118</v>
      </c>
      <c r="B31" s="15" t="s">
        <v>161</v>
      </c>
      <c r="C31" s="15" t="s">
        <v>119</v>
      </c>
      <c r="D31" s="15" t="s">
        <v>119</v>
      </c>
      <c r="E31" s="15" t="s">
        <v>64</v>
      </c>
      <c r="F31" s="16">
        <v>45574</v>
      </c>
      <c r="G31" s="17" t="s">
        <v>104</v>
      </c>
      <c r="H31" s="18" t="s">
        <v>66</v>
      </c>
      <c r="I31" s="18" t="s">
        <v>67</v>
      </c>
      <c r="J31" s="19" t="s">
        <v>68</v>
      </c>
      <c r="K31" s="18" t="s">
        <v>69</v>
      </c>
      <c r="L31" s="15" t="s">
        <v>120</v>
      </c>
      <c r="M31" s="18" t="str">
        <f>VLOOKUP(C:C,'[1]1. 晋升基础条件审核表'!$B:$H,7,0)</f>
        <v>系统测试工程师</v>
      </c>
      <c r="N31" s="17" t="s">
        <v>72</v>
      </c>
      <c r="O31" s="17" t="s">
        <v>73</v>
      </c>
      <c r="P31" s="20" t="s">
        <v>96</v>
      </c>
      <c r="Q31" s="20" t="str">
        <f>VLOOKUP(C:C,'[1]1. 晋升基础条件审核表'!$B:$N,13,0)</f>
        <v>4-2</v>
      </c>
      <c r="R31" s="17" t="s">
        <v>75</v>
      </c>
      <c r="S31" s="17"/>
      <c r="T31" s="17"/>
      <c r="U31" s="17"/>
      <c r="V31" s="17"/>
      <c r="W31" s="17"/>
      <c r="X31" s="17"/>
      <c r="Y31" s="17"/>
      <c r="Z31" s="15" t="s">
        <v>76</v>
      </c>
      <c r="AA31" s="15" t="s">
        <v>77</v>
      </c>
      <c r="AB31" s="15" t="s">
        <v>78</v>
      </c>
      <c r="AC31" s="19">
        <f ca="1" t="shared" si="0"/>
        <v>40</v>
      </c>
      <c r="AD31" s="18" t="str">
        <f ca="1" t="shared" si="1"/>
        <v>35-40岁</v>
      </c>
      <c r="AE31" s="21">
        <v>31261</v>
      </c>
      <c r="AF31" s="22"/>
      <c r="AG31" s="12"/>
      <c r="AH31" s="22"/>
      <c r="AI31" s="15" t="s">
        <v>79</v>
      </c>
      <c r="AJ31" s="15" t="s">
        <v>106</v>
      </c>
      <c r="AK31" s="15"/>
      <c r="AL31" s="27"/>
      <c r="AM31" s="17"/>
      <c r="AN31" s="15"/>
      <c r="AO31" s="19"/>
      <c r="AP31" s="31"/>
      <c r="AQ31" s="15"/>
      <c r="AR31" s="15"/>
      <c r="AS31" s="19"/>
      <c r="AT31" s="15"/>
      <c r="AU31" s="15"/>
      <c r="AV31" s="15"/>
      <c r="AW31" s="15"/>
      <c r="AX31" s="19"/>
      <c r="AY31" s="25">
        <v>45574</v>
      </c>
      <c r="AZ31" s="26">
        <f ca="1" t="shared" si="2"/>
        <v>1.41666666666667</v>
      </c>
      <c r="BA31" s="18" t="str">
        <f ca="1" t="shared" si="3"/>
        <v>0.5-2年</v>
      </c>
      <c r="BB31" s="15" t="s">
        <v>81</v>
      </c>
      <c r="BC31" s="25">
        <v>39995</v>
      </c>
      <c r="BD31" s="26">
        <f ca="1" t="shared" si="4"/>
        <v>16.75</v>
      </c>
      <c r="BE31" s="18" t="str">
        <f ca="1" t="shared" si="5"/>
        <v>15年以上</v>
      </c>
      <c r="BF31" s="25">
        <v>46668</v>
      </c>
      <c r="BG31" s="15" t="s">
        <v>82</v>
      </c>
      <c r="BH31" s="19" t="s">
        <v>83</v>
      </c>
      <c r="BI31" s="25">
        <v>45574</v>
      </c>
    </row>
    <row r="32" s="2" customFormat="1" ht="14.25" customHeight="1" spans="1:61">
      <c r="A32" s="15" t="s">
        <v>121</v>
      </c>
      <c r="B32" s="15" t="s">
        <v>161</v>
      </c>
      <c r="C32" s="15" t="s">
        <v>122</v>
      </c>
      <c r="D32" s="15" t="s">
        <v>122</v>
      </c>
      <c r="E32" s="15" t="s">
        <v>64</v>
      </c>
      <c r="F32" s="16">
        <v>45579</v>
      </c>
      <c r="G32" s="17" t="s">
        <v>104</v>
      </c>
      <c r="H32" s="18" t="s">
        <v>66</v>
      </c>
      <c r="I32" s="18" t="s">
        <v>67</v>
      </c>
      <c r="J32" s="19" t="s">
        <v>93</v>
      </c>
      <c r="K32" s="18" t="s">
        <v>94</v>
      </c>
      <c r="L32" s="15" t="s">
        <v>105</v>
      </c>
      <c r="M32" s="18" t="str">
        <f>VLOOKUP(C:C,'[1]1. 晋升基础条件审核表'!$B:$H,7,0)</f>
        <v>平台硬件工程师</v>
      </c>
      <c r="N32" s="17" t="s">
        <v>72</v>
      </c>
      <c r="O32" s="17" t="s">
        <v>73</v>
      </c>
      <c r="P32" s="20" t="s">
        <v>96</v>
      </c>
      <c r="Q32" s="20" t="str">
        <f>VLOOKUP(C:C,'[1]1. 晋升基础条件审核表'!$B:$N,13,0)</f>
        <v>5-2</v>
      </c>
      <c r="R32" s="17" t="s">
        <v>75</v>
      </c>
      <c r="S32" s="17"/>
      <c r="T32" s="17"/>
      <c r="U32" s="17"/>
      <c r="V32" s="17"/>
      <c r="W32" s="17"/>
      <c r="X32" s="17"/>
      <c r="Y32" s="17"/>
      <c r="Z32" s="15" t="s">
        <v>76</v>
      </c>
      <c r="AA32" s="15" t="s">
        <v>77</v>
      </c>
      <c r="AB32" s="15" t="s">
        <v>78</v>
      </c>
      <c r="AC32" s="19">
        <f ca="1" t="shared" si="0"/>
        <v>27</v>
      </c>
      <c r="AD32" s="18" t="str">
        <f ca="1" t="shared" si="1"/>
        <v>25-30岁</v>
      </c>
      <c r="AE32" s="21">
        <v>36057</v>
      </c>
      <c r="AF32" s="22"/>
      <c r="AG32" s="12"/>
      <c r="AH32" s="22"/>
      <c r="AI32" s="15" t="s">
        <v>79</v>
      </c>
      <c r="AJ32" s="15" t="s">
        <v>106</v>
      </c>
      <c r="AK32" s="15"/>
      <c r="AL32" s="27"/>
      <c r="AM32" s="17"/>
      <c r="AN32" s="15"/>
      <c r="AO32" s="19"/>
      <c r="AP32" s="31"/>
      <c r="AQ32" s="15"/>
      <c r="AR32" s="15"/>
      <c r="AS32" s="19"/>
      <c r="AT32" s="15"/>
      <c r="AU32" s="15"/>
      <c r="AV32" s="15"/>
      <c r="AW32" s="15"/>
      <c r="AX32" s="19"/>
      <c r="AY32" s="25">
        <v>45579</v>
      </c>
      <c r="AZ32" s="26">
        <f ca="1" t="shared" si="2"/>
        <v>1.41666666666667</v>
      </c>
      <c r="BA32" s="18" t="str">
        <f ca="1" t="shared" si="3"/>
        <v>0.5-2年</v>
      </c>
      <c r="BB32" s="15" t="s">
        <v>81</v>
      </c>
      <c r="BC32" s="25">
        <v>44047</v>
      </c>
      <c r="BD32" s="26">
        <f ca="1" t="shared" si="4"/>
        <v>5.66666666666667</v>
      </c>
      <c r="BE32" s="18" t="str">
        <f ca="1" t="shared" si="5"/>
        <v>5-7年</v>
      </c>
      <c r="BF32" s="25">
        <v>46673</v>
      </c>
      <c r="BG32" s="15" t="s">
        <v>82</v>
      </c>
      <c r="BH32" s="19" t="s">
        <v>83</v>
      </c>
      <c r="BI32" s="25">
        <v>45579</v>
      </c>
    </row>
    <row r="33" s="2" customFormat="1" ht="14.25" customHeight="1" spans="1:61">
      <c r="A33" s="15" t="s">
        <v>123</v>
      </c>
      <c r="B33" s="15" t="s">
        <v>161</v>
      </c>
      <c r="C33" s="15" t="s">
        <v>124</v>
      </c>
      <c r="D33" s="15" t="s">
        <v>124</v>
      </c>
      <c r="E33" s="15" t="s">
        <v>92</v>
      </c>
      <c r="F33" s="16">
        <v>45579</v>
      </c>
      <c r="G33" s="17" t="s">
        <v>104</v>
      </c>
      <c r="H33" s="18" t="s">
        <v>66</v>
      </c>
      <c r="I33" s="18" t="s">
        <v>67</v>
      </c>
      <c r="J33" s="19" t="s">
        <v>93</v>
      </c>
      <c r="K33" s="18" t="s">
        <v>94</v>
      </c>
      <c r="L33" s="15" t="s">
        <v>105</v>
      </c>
      <c r="M33" s="18" t="str">
        <f>VLOOKUP(C:C,'[1]1. 晋升基础条件审核表'!$B:$H,7,0)</f>
        <v>系统测试工程师</v>
      </c>
      <c r="N33" s="17" t="s">
        <v>72</v>
      </c>
      <c r="O33" s="17" t="s">
        <v>73</v>
      </c>
      <c r="P33" s="20" t="s">
        <v>96</v>
      </c>
      <c r="Q33" s="20" t="str">
        <f>VLOOKUP(C:C,'[1]1. 晋升基础条件审核表'!$B:$N,13,0)</f>
        <v>5-2</v>
      </c>
      <c r="R33" s="17" t="s">
        <v>75</v>
      </c>
      <c r="S33" s="17"/>
      <c r="T33" s="17"/>
      <c r="U33" s="17"/>
      <c r="V33" s="17"/>
      <c r="W33" s="17"/>
      <c r="X33" s="17"/>
      <c r="Y33" s="17"/>
      <c r="Z33" s="15" t="s">
        <v>76</v>
      </c>
      <c r="AA33" s="15" t="s">
        <v>77</v>
      </c>
      <c r="AB33" s="15" t="s">
        <v>78</v>
      </c>
      <c r="AC33" s="19">
        <f ca="1" t="shared" si="0"/>
        <v>27</v>
      </c>
      <c r="AD33" s="18" t="str">
        <f ca="1" t="shared" si="1"/>
        <v>25-30岁</v>
      </c>
      <c r="AE33" s="21">
        <v>36017</v>
      </c>
      <c r="AF33" s="22"/>
      <c r="AG33" s="12"/>
      <c r="AH33" s="22"/>
      <c r="AI33" s="15" t="s">
        <v>79</v>
      </c>
      <c r="AJ33" s="15" t="s">
        <v>106</v>
      </c>
      <c r="AK33" s="15"/>
      <c r="AL33" s="27"/>
      <c r="AM33" s="17"/>
      <c r="AN33" s="15"/>
      <c r="AO33" s="19"/>
      <c r="AP33" s="31"/>
      <c r="AQ33" s="15"/>
      <c r="AR33" s="15"/>
      <c r="AS33" s="19"/>
      <c r="AT33" s="15"/>
      <c r="AU33" s="15"/>
      <c r="AV33" s="15"/>
      <c r="AW33" s="15"/>
      <c r="AX33" s="19"/>
      <c r="AY33" s="25">
        <v>45579</v>
      </c>
      <c r="AZ33" s="26">
        <f ca="1" t="shared" si="2"/>
        <v>1.41666666666667</v>
      </c>
      <c r="BA33" s="18" t="str">
        <f ca="1" t="shared" si="3"/>
        <v>0.5-2年</v>
      </c>
      <c r="BB33" s="15" t="s">
        <v>81</v>
      </c>
      <c r="BC33" s="25">
        <v>44389</v>
      </c>
      <c r="BD33" s="26">
        <f ca="1" t="shared" si="4"/>
        <v>4.66666666666667</v>
      </c>
      <c r="BE33" s="18" t="str">
        <f ca="1" t="shared" si="5"/>
        <v>3-5年</v>
      </c>
      <c r="BF33" s="25">
        <v>46673</v>
      </c>
      <c r="BG33" s="15" t="s">
        <v>82</v>
      </c>
      <c r="BH33" s="19" t="s">
        <v>83</v>
      </c>
      <c r="BI33" s="25">
        <v>45579</v>
      </c>
    </row>
    <row r="34" s="2" customFormat="1" ht="14.25" customHeight="1" spans="1:61">
      <c r="A34" s="15" t="s">
        <v>125</v>
      </c>
      <c r="B34" s="15" t="s">
        <v>161</v>
      </c>
      <c r="C34" s="15" t="s">
        <v>126</v>
      </c>
      <c r="D34" s="15" t="s">
        <v>126</v>
      </c>
      <c r="E34" s="15" t="s">
        <v>64</v>
      </c>
      <c r="F34" s="16">
        <v>45600</v>
      </c>
      <c r="G34" s="17" t="s">
        <v>104</v>
      </c>
      <c r="H34" s="18" t="s">
        <v>66</v>
      </c>
      <c r="I34" s="18" t="s">
        <v>67</v>
      </c>
      <c r="J34" s="19" t="s">
        <v>86</v>
      </c>
      <c r="K34" s="18" t="s">
        <v>87</v>
      </c>
      <c r="L34" s="15" t="s">
        <v>127</v>
      </c>
      <c r="M34" s="18" t="s">
        <v>128</v>
      </c>
      <c r="N34" s="17" t="s">
        <v>72</v>
      </c>
      <c r="O34" s="17" t="s">
        <v>73</v>
      </c>
      <c r="P34" s="20" t="s">
        <v>74</v>
      </c>
      <c r="Q34" s="20" t="str">
        <f>VLOOKUP(C:C,'[1]1. 晋升基础条件审核表'!$B:$N,13,0)</f>
        <v>5-1</v>
      </c>
      <c r="R34" s="17" t="s">
        <v>75</v>
      </c>
      <c r="S34" s="17"/>
      <c r="T34" s="17"/>
      <c r="U34" s="17"/>
      <c r="V34" s="17"/>
      <c r="W34" s="17"/>
      <c r="X34" s="17"/>
      <c r="Y34" s="17"/>
      <c r="Z34" s="15" t="s">
        <v>76</v>
      </c>
      <c r="AA34" s="15" t="s">
        <v>77</v>
      </c>
      <c r="AB34" s="15" t="s">
        <v>78</v>
      </c>
      <c r="AC34" s="19">
        <f ca="1" t="shared" si="0"/>
        <v>36</v>
      </c>
      <c r="AD34" s="18" t="str">
        <f ca="1" t="shared" si="1"/>
        <v>35-40岁</v>
      </c>
      <c r="AE34" s="21">
        <v>32696</v>
      </c>
      <c r="AF34" s="22"/>
      <c r="AG34" s="12"/>
      <c r="AH34" s="22"/>
      <c r="AI34" s="15" t="s">
        <v>79</v>
      </c>
      <c r="AJ34" s="15" t="s">
        <v>106</v>
      </c>
      <c r="AK34" s="15"/>
      <c r="AL34" s="27"/>
      <c r="AM34" s="15"/>
      <c r="AN34" s="15"/>
      <c r="AO34" s="19"/>
      <c r="AP34" s="31"/>
      <c r="AQ34" s="15"/>
      <c r="AR34" s="15"/>
      <c r="AS34" s="19"/>
      <c r="AT34" s="15"/>
      <c r="AU34" s="15"/>
      <c r="AV34" s="15"/>
      <c r="AW34" s="15"/>
      <c r="AX34" s="19"/>
      <c r="AY34" s="25">
        <v>45600</v>
      </c>
      <c r="AZ34" s="26">
        <f ca="1" t="shared" si="2"/>
        <v>1.41666666666667</v>
      </c>
      <c r="BA34" s="18" t="str">
        <f ca="1" t="shared" si="3"/>
        <v>0.5-2年</v>
      </c>
      <c r="BB34" s="15" t="s">
        <v>81</v>
      </c>
      <c r="BC34" s="25">
        <v>41486</v>
      </c>
      <c r="BD34" s="26">
        <f ca="1" t="shared" si="4"/>
        <v>12.6666666666667</v>
      </c>
      <c r="BE34" s="18" t="str">
        <f ca="1" t="shared" si="5"/>
        <v>10-15年</v>
      </c>
      <c r="BF34" s="25">
        <v>46694</v>
      </c>
      <c r="BG34" s="15" t="s">
        <v>82</v>
      </c>
      <c r="BH34" s="19" t="s">
        <v>83</v>
      </c>
      <c r="BI34" s="25">
        <v>45600</v>
      </c>
    </row>
    <row r="35" s="2" customFormat="1" ht="14.25" customHeight="1" spans="1:61">
      <c r="A35" s="15" t="s">
        <v>129</v>
      </c>
      <c r="B35" s="15" t="s">
        <v>161</v>
      </c>
      <c r="C35" s="15" t="s">
        <v>130</v>
      </c>
      <c r="D35" s="15" t="s">
        <v>130</v>
      </c>
      <c r="E35" s="15" t="s">
        <v>64</v>
      </c>
      <c r="F35" s="16">
        <v>45614</v>
      </c>
      <c r="G35" s="17" t="s">
        <v>104</v>
      </c>
      <c r="H35" s="18" t="s">
        <v>66</v>
      </c>
      <c r="I35" s="18" t="s">
        <v>67</v>
      </c>
      <c r="J35" s="19" t="s">
        <v>68</v>
      </c>
      <c r="K35" s="18" t="s">
        <v>69</v>
      </c>
      <c r="L35" s="15" t="s">
        <v>131</v>
      </c>
      <c r="M35" s="18" t="s">
        <v>113</v>
      </c>
      <c r="N35" s="17" t="s">
        <v>72</v>
      </c>
      <c r="O35" s="17" t="s">
        <v>73</v>
      </c>
      <c r="P35" s="20" t="s">
        <v>74</v>
      </c>
      <c r="Q35" s="20" t="str">
        <f>VLOOKUP(C:C,'[1]1. 晋升基础条件审核表'!$B:$N,13,0)</f>
        <v>4-3</v>
      </c>
      <c r="R35" s="17" t="s">
        <v>75</v>
      </c>
      <c r="S35" s="17"/>
      <c r="T35" s="17"/>
      <c r="U35" s="17"/>
      <c r="V35" s="17"/>
      <c r="W35" s="17"/>
      <c r="X35" s="17"/>
      <c r="Y35" s="17"/>
      <c r="Z35" s="15" t="s">
        <v>76</v>
      </c>
      <c r="AA35" s="15" t="s">
        <v>77</v>
      </c>
      <c r="AB35" s="15" t="s">
        <v>78</v>
      </c>
      <c r="AC35" s="19">
        <f ca="1" t="shared" si="0"/>
        <v>40</v>
      </c>
      <c r="AD35" s="18" t="str">
        <f ca="1" t="shared" si="1"/>
        <v>35-40岁</v>
      </c>
      <c r="AE35" s="21">
        <v>31510</v>
      </c>
      <c r="AF35" s="22"/>
      <c r="AG35" s="12"/>
      <c r="AH35" s="22"/>
      <c r="AI35" s="15" t="s">
        <v>79</v>
      </c>
      <c r="AJ35" s="15" t="s">
        <v>80</v>
      </c>
      <c r="AK35" s="15"/>
      <c r="AL35" s="27"/>
      <c r="AM35" s="15"/>
      <c r="AN35" s="15"/>
      <c r="AO35" s="19"/>
      <c r="AP35" s="31"/>
      <c r="AQ35" s="15"/>
      <c r="AR35" s="15"/>
      <c r="AS35" s="19"/>
      <c r="AT35" s="15"/>
      <c r="AU35" s="15"/>
      <c r="AV35" s="15"/>
      <c r="AW35" s="15"/>
      <c r="AX35" s="19"/>
      <c r="AY35" s="25">
        <v>45614</v>
      </c>
      <c r="AZ35" s="26">
        <f ca="1" t="shared" si="2"/>
        <v>1.33333333333333</v>
      </c>
      <c r="BA35" s="18" t="str">
        <f ca="1" t="shared" si="3"/>
        <v>0.5-2年</v>
      </c>
      <c r="BB35" s="15" t="s">
        <v>81</v>
      </c>
      <c r="BC35" s="25">
        <v>41099</v>
      </c>
      <c r="BD35" s="26">
        <f ca="1" t="shared" si="4"/>
        <v>13.6666666666667</v>
      </c>
      <c r="BE35" s="18" t="str">
        <f ca="1" t="shared" si="5"/>
        <v>10-15年</v>
      </c>
      <c r="BF35" s="25">
        <v>46708</v>
      </c>
      <c r="BG35" s="15" t="s">
        <v>82</v>
      </c>
      <c r="BH35" s="19" t="s">
        <v>83</v>
      </c>
      <c r="BI35" s="25">
        <v>45614</v>
      </c>
    </row>
    <row r="36" s="2" customFormat="1" ht="14.25" customHeight="1" spans="1:61">
      <c r="A36" s="15" t="s">
        <v>132</v>
      </c>
      <c r="B36" s="15" t="s">
        <v>161</v>
      </c>
      <c r="C36" s="15" t="s">
        <v>133</v>
      </c>
      <c r="D36" s="15" t="s">
        <v>133</v>
      </c>
      <c r="E36" s="15" t="s">
        <v>64</v>
      </c>
      <c r="F36" s="16">
        <v>45623</v>
      </c>
      <c r="G36" s="17" t="s">
        <v>134</v>
      </c>
      <c r="H36" s="18" t="s">
        <v>66</v>
      </c>
      <c r="I36" s="18" t="s">
        <v>67</v>
      </c>
      <c r="J36" s="19" t="s">
        <v>68</v>
      </c>
      <c r="K36" s="18" t="s">
        <v>69</v>
      </c>
      <c r="L36" s="15" t="s">
        <v>131</v>
      </c>
      <c r="M36" s="18" t="s">
        <v>135</v>
      </c>
      <c r="N36" s="17" t="s">
        <v>72</v>
      </c>
      <c r="O36" s="17" t="s">
        <v>73</v>
      </c>
      <c r="P36" s="20" t="s">
        <v>74</v>
      </c>
      <c r="Q36" s="20" t="str">
        <f>VLOOKUP(C:C,'[1]1. 晋升基础条件审核表'!$B:$N,13,0)</f>
        <v>4-2</v>
      </c>
      <c r="R36" s="17" t="s">
        <v>75</v>
      </c>
      <c r="S36" s="17"/>
      <c r="T36" s="17"/>
      <c r="U36" s="17"/>
      <c r="V36" s="17"/>
      <c r="W36" s="17"/>
      <c r="X36" s="17"/>
      <c r="Y36" s="17"/>
      <c r="Z36" s="15" t="s">
        <v>136</v>
      </c>
      <c r="AA36" s="15" t="s">
        <v>77</v>
      </c>
      <c r="AB36" s="15" t="s">
        <v>78</v>
      </c>
      <c r="AC36" s="19">
        <f ca="1" t="shared" si="0"/>
        <v>40</v>
      </c>
      <c r="AD36" s="18" t="str">
        <f ca="1" t="shared" si="1"/>
        <v>35-40岁</v>
      </c>
      <c r="AE36" s="21">
        <v>31178</v>
      </c>
      <c r="AF36" s="22"/>
      <c r="AG36" s="12"/>
      <c r="AH36" s="22"/>
      <c r="AI36" s="15" t="s">
        <v>79</v>
      </c>
      <c r="AJ36" s="15" t="s">
        <v>137</v>
      </c>
      <c r="AK36" s="15"/>
      <c r="AL36" s="27"/>
      <c r="AM36" s="15"/>
      <c r="AN36" s="15"/>
      <c r="AO36" s="19"/>
      <c r="AP36" s="31"/>
      <c r="AQ36" s="15"/>
      <c r="AR36" s="15"/>
      <c r="AS36" s="19"/>
      <c r="AT36" s="15"/>
      <c r="AU36" s="15"/>
      <c r="AV36" s="15"/>
      <c r="AW36" s="15"/>
      <c r="AX36" s="19"/>
      <c r="AY36" s="25">
        <v>45623</v>
      </c>
      <c r="AZ36" s="26">
        <f ca="1" t="shared" si="2"/>
        <v>1.33333333333333</v>
      </c>
      <c r="BA36" s="18" t="str">
        <f ca="1" t="shared" si="3"/>
        <v>0.5-2年</v>
      </c>
      <c r="BB36" s="15" t="s">
        <v>81</v>
      </c>
      <c r="BC36" s="16">
        <v>39899</v>
      </c>
      <c r="BD36" s="26">
        <f ca="1" t="shared" si="4"/>
        <v>17</v>
      </c>
      <c r="BE36" s="18" t="str">
        <f ca="1" t="shared" si="5"/>
        <v>15年以上</v>
      </c>
      <c r="BF36" s="25">
        <v>46717</v>
      </c>
      <c r="BG36" s="15" t="s">
        <v>82</v>
      </c>
      <c r="BH36" s="19" t="s">
        <v>83</v>
      </c>
      <c r="BI36" s="25">
        <v>45623</v>
      </c>
    </row>
    <row r="37" s="2" customFormat="1" ht="14.25" customHeight="1" spans="1:61">
      <c r="A37" s="15" t="s">
        <v>138</v>
      </c>
      <c r="B37" s="15" t="s">
        <v>161</v>
      </c>
      <c r="C37" s="15" t="s">
        <v>139</v>
      </c>
      <c r="D37" s="15" t="s">
        <v>139</v>
      </c>
      <c r="E37" s="15" t="s">
        <v>64</v>
      </c>
      <c r="F37" s="16">
        <v>45628</v>
      </c>
      <c r="G37" s="17" t="s">
        <v>104</v>
      </c>
      <c r="H37" s="18" t="s">
        <v>66</v>
      </c>
      <c r="I37" s="18" t="s">
        <v>67</v>
      </c>
      <c r="J37" s="19" t="s">
        <v>68</v>
      </c>
      <c r="K37" s="18" t="s">
        <v>69</v>
      </c>
      <c r="L37" s="15" t="s">
        <v>112</v>
      </c>
      <c r="M37" s="18" t="s">
        <v>117</v>
      </c>
      <c r="N37" s="17" t="s">
        <v>72</v>
      </c>
      <c r="O37" s="17" t="s">
        <v>73</v>
      </c>
      <c r="P37" s="20" t="s">
        <v>74</v>
      </c>
      <c r="Q37" s="20" t="str">
        <f>VLOOKUP(C:C,'[1]1. 晋升基础条件审核表'!$B:$N,13,0)</f>
        <v>4-2</v>
      </c>
      <c r="R37" s="17" t="s">
        <v>75</v>
      </c>
      <c r="S37" s="17"/>
      <c r="T37" s="17"/>
      <c r="U37" s="17"/>
      <c r="V37" s="17"/>
      <c r="W37" s="17"/>
      <c r="X37" s="17"/>
      <c r="Y37" s="17"/>
      <c r="Z37" s="15" t="s">
        <v>76</v>
      </c>
      <c r="AA37" s="15" t="s">
        <v>77</v>
      </c>
      <c r="AB37" s="15" t="s">
        <v>78</v>
      </c>
      <c r="AC37" s="19">
        <f ca="1" t="shared" si="0"/>
        <v>38</v>
      </c>
      <c r="AD37" s="18" t="str">
        <f ca="1" t="shared" si="1"/>
        <v>35-40岁</v>
      </c>
      <c r="AE37" s="21">
        <v>32127</v>
      </c>
      <c r="AF37" s="22"/>
      <c r="AG37" s="12"/>
      <c r="AH37" s="22"/>
      <c r="AI37" s="15" t="s">
        <v>79</v>
      </c>
      <c r="AJ37" s="15" t="s">
        <v>106</v>
      </c>
      <c r="AK37" s="15"/>
      <c r="AL37" s="27"/>
      <c r="AM37" s="17"/>
      <c r="AN37" s="15"/>
      <c r="AO37" s="19"/>
      <c r="AP37" s="31"/>
      <c r="AQ37" s="15"/>
      <c r="AR37" s="15"/>
      <c r="AS37" s="19"/>
      <c r="AT37" s="15"/>
      <c r="AU37" s="15"/>
      <c r="AV37" s="15"/>
      <c r="AW37" s="15"/>
      <c r="AX37" s="19"/>
      <c r="AY37" s="25">
        <v>45628</v>
      </c>
      <c r="AZ37" s="26">
        <f ca="1" t="shared" si="2"/>
        <v>1.33333333333333</v>
      </c>
      <c r="BA37" s="18" t="str">
        <f ca="1" t="shared" si="3"/>
        <v>0.5-2年</v>
      </c>
      <c r="BB37" s="15" t="s">
        <v>81</v>
      </c>
      <c r="BC37" s="25">
        <v>40422</v>
      </c>
      <c r="BD37" s="26">
        <f ca="1" t="shared" si="4"/>
        <v>15.5833333333333</v>
      </c>
      <c r="BE37" s="18" t="str">
        <f ca="1" t="shared" si="5"/>
        <v>15年以上</v>
      </c>
      <c r="BF37" s="25">
        <v>46722</v>
      </c>
      <c r="BG37" s="15" t="s">
        <v>82</v>
      </c>
      <c r="BH37" s="19" t="s">
        <v>83</v>
      </c>
      <c r="BI37" s="25">
        <v>45628</v>
      </c>
    </row>
    <row r="38" s="2" customFormat="1" ht="14.25" customHeight="1" spans="1:61">
      <c r="A38" s="15" t="s">
        <v>140</v>
      </c>
      <c r="B38" s="15" t="s">
        <v>161</v>
      </c>
      <c r="C38" s="15" t="s">
        <v>141</v>
      </c>
      <c r="D38" s="15" t="s">
        <v>141</v>
      </c>
      <c r="E38" s="15" t="s">
        <v>64</v>
      </c>
      <c r="F38" s="16">
        <v>45644</v>
      </c>
      <c r="G38" s="17" t="s">
        <v>104</v>
      </c>
      <c r="H38" s="18" t="s">
        <v>66</v>
      </c>
      <c r="I38" s="18" t="s">
        <v>67</v>
      </c>
      <c r="J38" s="19" t="s">
        <v>68</v>
      </c>
      <c r="K38" s="18" t="s">
        <v>69</v>
      </c>
      <c r="L38" s="15" t="s">
        <v>120</v>
      </c>
      <c r="M38" s="18" t="str">
        <f>VLOOKUP(C:C,'[1]1. 晋升基础条件审核表'!$B:$H,7,0)</f>
        <v>算法与协议软件工程师</v>
      </c>
      <c r="N38" s="17" t="s">
        <v>72</v>
      </c>
      <c r="O38" s="17" t="s">
        <v>73</v>
      </c>
      <c r="P38" s="20" t="s">
        <v>74</v>
      </c>
      <c r="Q38" s="17" t="s">
        <v>142</v>
      </c>
      <c r="R38" s="17" t="s">
        <v>143</v>
      </c>
      <c r="S38" s="17"/>
      <c r="T38" s="17"/>
      <c r="U38" s="17"/>
      <c r="V38" s="17"/>
      <c r="W38" s="17"/>
      <c r="X38" s="17"/>
      <c r="Y38" s="17"/>
      <c r="Z38" s="15" t="s">
        <v>76</v>
      </c>
      <c r="AA38" s="15" t="s">
        <v>77</v>
      </c>
      <c r="AB38" s="15" t="s">
        <v>78</v>
      </c>
      <c r="AC38" s="19">
        <f ca="1" t="shared" si="0"/>
        <v>33</v>
      </c>
      <c r="AD38" s="18" t="str">
        <f ca="1" t="shared" si="1"/>
        <v>30-35岁</v>
      </c>
      <c r="AE38" s="21">
        <v>33739</v>
      </c>
      <c r="AF38" s="22"/>
      <c r="AG38" s="12"/>
      <c r="AH38" s="22"/>
      <c r="AI38" s="15" t="s">
        <v>79</v>
      </c>
      <c r="AJ38" s="15" t="s">
        <v>80</v>
      </c>
      <c r="AK38" s="15"/>
      <c r="AL38" s="27"/>
      <c r="AM38" s="17"/>
      <c r="AN38" s="15"/>
      <c r="AO38" s="19"/>
      <c r="AP38" s="31"/>
      <c r="AQ38" s="15"/>
      <c r="AR38" s="15"/>
      <c r="AS38" s="19"/>
      <c r="AT38" s="15"/>
      <c r="AU38" s="15"/>
      <c r="AV38" s="15"/>
      <c r="AW38" s="15"/>
      <c r="AX38" s="19"/>
      <c r="AY38" s="25">
        <v>45644</v>
      </c>
      <c r="AZ38" s="26">
        <f ca="1" t="shared" si="2"/>
        <v>1.25</v>
      </c>
      <c r="BA38" s="18" t="str">
        <f ca="1" t="shared" si="3"/>
        <v>0.5-2年</v>
      </c>
      <c r="BB38" s="15" t="s">
        <v>81</v>
      </c>
      <c r="BC38" s="25">
        <v>43647</v>
      </c>
      <c r="BD38" s="26">
        <f ca="1" t="shared" si="4"/>
        <v>6.75</v>
      </c>
      <c r="BE38" s="18" t="str">
        <f ca="1" t="shared" si="5"/>
        <v>5-7年</v>
      </c>
      <c r="BF38" s="25">
        <v>46738</v>
      </c>
      <c r="BG38" s="15" t="s">
        <v>82</v>
      </c>
      <c r="BH38" s="19" t="s">
        <v>83</v>
      </c>
      <c r="BI38" s="25">
        <v>45644</v>
      </c>
    </row>
    <row r="39" s="2" customFormat="1" ht="14.25" customHeight="1" spans="1:61">
      <c r="A39" s="15" t="s">
        <v>144</v>
      </c>
      <c r="B39" s="15" t="s">
        <v>161</v>
      </c>
      <c r="C39" s="15" t="s">
        <v>145</v>
      </c>
      <c r="D39" s="15" t="s">
        <v>145</v>
      </c>
      <c r="E39" s="15" t="s">
        <v>64</v>
      </c>
      <c r="F39" s="16">
        <v>45728</v>
      </c>
      <c r="G39" s="17" t="s">
        <v>104</v>
      </c>
      <c r="H39" s="18" t="s">
        <v>66</v>
      </c>
      <c r="I39" s="18" t="s">
        <v>67</v>
      </c>
      <c r="J39" s="19" t="s">
        <v>93</v>
      </c>
      <c r="K39" s="18" t="s">
        <v>94</v>
      </c>
      <c r="L39" s="15" t="s">
        <v>105</v>
      </c>
      <c r="M39" s="18" t="str">
        <f>VLOOKUP(C:C,'[1]1. 晋升基础条件审核表'!$B:$H,7,0)</f>
        <v>平台软件工程师</v>
      </c>
      <c r="N39" s="17" t="s">
        <v>72</v>
      </c>
      <c r="O39" s="17" t="s">
        <v>73</v>
      </c>
      <c r="P39" s="20" t="s">
        <v>74</v>
      </c>
      <c r="Q39" s="17" t="s">
        <v>146</v>
      </c>
      <c r="R39" s="17" t="s">
        <v>143</v>
      </c>
      <c r="S39" s="17"/>
      <c r="T39" s="17"/>
      <c r="U39" s="17"/>
      <c r="V39" s="17"/>
      <c r="W39" s="17"/>
      <c r="X39" s="17"/>
      <c r="Y39" s="17"/>
      <c r="Z39" s="15" t="s">
        <v>76</v>
      </c>
      <c r="AA39" s="15" t="s">
        <v>77</v>
      </c>
      <c r="AB39" s="15" t="s">
        <v>78</v>
      </c>
      <c r="AC39" s="19">
        <f ca="1" t="shared" si="0"/>
        <v>35</v>
      </c>
      <c r="AD39" s="18" t="str">
        <f ca="1" t="shared" si="1"/>
        <v>30-35岁</v>
      </c>
      <c r="AE39" s="21">
        <v>33077</v>
      </c>
      <c r="AF39" s="22"/>
      <c r="AG39" s="12"/>
      <c r="AH39" s="22"/>
      <c r="AI39" s="15" t="s">
        <v>79</v>
      </c>
      <c r="AJ39" s="15" t="s">
        <v>106</v>
      </c>
      <c r="AK39" s="15"/>
      <c r="AL39" s="33"/>
      <c r="AM39" s="15"/>
      <c r="AN39" s="15"/>
      <c r="AO39" s="19"/>
      <c r="AP39" s="31"/>
      <c r="AQ39" s="15"/>
      <c r="AR39" s="15"/>
      <c r="AS39" s="19"/>
      <c r="AT39" s="15"/>
      <c r="AU39" s="15"/>
      <c r="AV39" s="15"/>
      <c r="AW39" s="15"/>
      <c r="AX39" s="19"/>
      <c r="AY39" s="25">
        <v>45728</v>
      </c>
      <c r="AZ39" s="26">
        <f ca="1" t="shared" si="2"/>
        <v>1</v>
      </c>
      <c r="BA39" s="18" t="str">
        <f ca="1" t="shared" si="3"/>
        <v>0.5-2年</v>
      </c>
      <c r="BB39" s="15" t="s">
        <v>81</v>
      </c>
      <c r="BC39" s="25">
        <v>41821</v>
      </c>
      <c r="BD39" s="26">
        <f ca="1" t="shared" si="4"/>
        <v>11.75</v>
      </c>
      <c r="BE39" s="18" t="str">
        <f ca="1" t="shared" si="5"/>
        <v>10-15年</v>
      </c>
      <c r="BF39" s="25">
        <v>46823</v>
      </c>
      <c r="BG39" s="15" t="s">
        <v>82</v>
      </c>
      <c r="BH39" s="19" t="s">
        <v>83</v>
      </c>
      <c r="BI39" s="25">
        <v>45728</v>
      </c>
    </row>
    <row r="40" s="2" customFormat="1" ht="14.25" customHeight="1" spans="1:61">
      <c r="A40" s="15" t="s">
        <v>147</v>
      </c>
      <c r="B40" s="15" t="s">
        <v>161</v>
      </c>
      <c r="C40" s="15" t="s">
        <v>148</v>
      </c>
      <c r="D40" s="15" t="s">
        <v>148</v>
      </c>
      <c r="E40" s="15" t="s">
        <v>64</v>
      </c>
      <c r="F40" s="16">
        <v>45742</v>
      </c>
      <c r="G40" s="17" t="s">
        <v>104</v>
      </c>
      <c r="H40" s="18" t="s">
        <v>66</v>
      </c>
      <c r="I40" s="18" t="s">
        <v>67</v>
      </c>
      <c r="J40" s="19" t="s">
        <v>68</v>
      </c>
      <c r="K40" s="18" t="s">
        <v>69</v>
      </c>
      <c r="L40" s="15" t="s">
        <v>120</v>
      </c>
      <c r="M40" s="18" t="str">
        <f>VLOOKUP(C:C,'[1]1. 晋升基础条件审核表'!$B:$H,7,0)</f>
        <v>平台软件工程师</v>
      </c>
      <c r="N40" s="17" t="s">
        <v>122</v>
      </c>
      <c r="O40" s="17" t="s">
        <v>73</v>
      </c>
      <c r="P40" s="20" t="s">
        <v>74</v>
      </c>
      <c r="Q40" s="17" t="s">
        <v>142</v>
      </c>
      <c r="R40" s="17" t="s">
        <v>143</v>
      </c>
      <c r="S40" s="17"/>
      <c r="T40" s="17"/>
      <c r="U40" s="17"/>
      <c r="V40" s="17"/>
      <c r="W40" s="17"/>
      <c r="X40" s="17"/>
      <c r="Y40" s="17"/>
      <c r="Z40" s="15" t="s">
        <v>76</v>
      </c>
      <c r="AA40" s="15" t="s">
        <v>77</v>
      </c>
      <c r="AB40" s="15" t="s">
        <v>78</v>
      </c>
      <c r="AC40" s="19">
        <f ca="1" t="shared" si="0"/>
        <v>35</v>
      </c>
      <c r="AD40" s="18" t="str">
        <f ca="1" t="shared" si="1"/>
        <v>30-35岁</v>
      </c>
      <c r="AE40" s="21">
        <v>33156</v>
      </c>
      <c r="AF40" s="22"/>
      <c r="AG40" s="12"/>
      <c r="AH40" s="22"/>
      <c r="AI40" s="15" t="s">
        <v>79</v>
      </c>
      <c r="AJ40" s="15" t="s">
        <v>80</v>
      </c>
      <c r="AK40" s="15"/>
      <c r="AL40" s="33"/>
      <c r="AM40" s="15"/>
      <c r="AN40" s="15"/>
      <c r="AO40" s="19"/>
      <c r="AP40" s="31"/>
      <c r="AQ40" s="15"/>
      <c r="AR40" s="15"/>
      <c r="AS40" s="19"/>
      <c r="AT40" s="15"/>
      <c r="AU40" s="15"/>
      <c r="AV40" s="15"/>
      <c r="AW40" s="15"/>
      <c r="AX40" s="19"/>
      <c r="AY40" s="25">
        <v>45742</v>
      </c>
      <c r="AZ40" s="26">
        <f ca="1" t="shared" si="2"/>
        <v>1</v>
      </c>
      <c r="BA40" s="18" t="str">
        <f ca="1" t="shared" si="3"/>
        <v>0.5-2年</v>
      </c>
      <c r="BB40" s="15" t="s">
        <v>81</v>
      </c>
      <c r="BC40" s="25">
        <v>42920</v>
      </c>
      <c r="BD40" s="26">
        <f ca="1" t="shared" si="4"/>
        <v>8.75</v>
      </c>
      <c r="BE40" s="18" t="str">
        <f ca="1" t="shared" si="5"/>
        <v>7-10年</v>
      </c>
      <c r="BF40" s="25">
        <v>46837</v>
      </c>
      <c r="BG40" s="15" t="s">
        <v>82</v>
      </c>
      <c r="BH40" s="19" t="s">
        <v>83</v>
      </c>
      <c r="BI40" s="25">
        <v>45742</v>
      </c>
    </row>
    <row r="41" s="2" customFormat="1" ht="14.25" customHeight="1" spans="1:61">
      <c r="A41" s="15" t="s">
        <v>149</v>
      </c>
      <c r="B41" s="15" t="s">
        <v>161</v>
      </c>
      <c r="C41" s="15" t="s">
        <v>150</v>
      </c>
      <c r="D41" s="15" t="s">
        <v>150</v>
      </c>
      <c r="E41" s="15" t="s">
        <v>64</v>
      </c>
      <c r="F41" s="16">
        <v>45754</v>
      </c>
      <c r="G41" s="17" t="s">
        <v>104</v>
      </c>
      <c r="H41" s="18" t="s">
        <v>66</v>
      </c>
      <c r="I41" s="18" t="s">
        <v>67</v>
      </c>
      <c r="J41" s="19" t="s">
        <v>86</v>
      </c>
      <c r="K41" s="18" t="s">
        <v>87</v>
      </c>
      <c r="L41" s="15" t="s">
        <v>151</v>
      </c>
      <c r="M41" s="18" t="s">
        <v>152</v>
      </c>
      <c r="N41" s="17" t="s">
        <v>72</v>
      </c>
      <c r="O41" s="17" t="s">
        <v>73</v>
      </c>
      <c r="P41" s="20" t="s">
        <v>74</v>
      </c>
      <c r="Q41" s="17" t="s">
        <v>146</v>
      </c>
      <c r="R41" s="17" t="s">
        <v>143</v>
      </c>
      <c r="S41" s="17"/>
      <c r="T41" s="17"/>
      <c r="U41" s="17"/>
      <c r="V41" s="17"/>
      <c r="W41" s="17"/>
      <c r="X41" s="17"/>
      <c r="Y41" s="17"/>
      <c r="Z41" s="15" t="s">
        <v>76</v>
      </c>
      <c r="AA41" s="15" t="s">
        <v>77</v>
      </c>
      <c r="AB41" s="15" t="s">
        <v>78</v>
      </c>
      <c r="AC41" s="19">
        <f ca="1" t="shared" si="0"/>
        <v>46</v>
      </c>
      <c r="AD41" s="18" t="str">
        <f ca="1" t="shared" si="1"/>
        <v>45岁以上</v>
      </c>
      <c r="AE41" s="21">
        <v>29059</v>
      </c>
      <c r="AF41" s="22"/>
      <c r="AG41" s="12"/>
      <c r="AH41" s="22"/>
      <c r="AI41" s="15" t="s">
        <v>79</v>
      </c>
      <c r="AJ41" s="15" t="s">
        <v>106</v>
      </c>
      <c r="AK41" s="15"/>
      <c r="AL41" s="33"/>
      <c r="AM41" s="15"/>
      <c r="AN41" s="15"/>
      <c r="AO41" s="19"/>
      <c r="AP41" s="31"/>
      <c r="AQ41" s="15"/>
      <c r="AR41" s="15"/>
      <c r="AS41" s="19"/>
      <c r="AT41" s="15"/>
      <c r="AU41" s="15"/>
      <c r="AV41" s="15"/>
      <c r="AW41" s="15"/>
      <c r="AX41" s="19"/>
      <c r="AY41" s="25">
        <v>45754</v>
      </c>
      <c r="AZ41" s="26">
        <f ca="1" t="shared" si="2"/>
        <v>1</v>
      </c>
      <c r="BA41" s="18" t="str">
        <f ca="1" t="shared" si="3"/>
        <v>0.5-2年</v>
      </c>
      <c r="BB41" s="15" t="s">
        <v>81</v>
      </c>
      <c r="BC41" s="25">
        <v>38200</v>
      </c>
      <c r="BD41" s="26">
        <f ca="1" t="shared" si="4"/>
        <v>21.6666666666667</v>
      </c>
      <c r="BE41" s="18" t="str">
        <f ca="1" t="shared" si="5"/>
        <v>15年以上</v>
      </c>
      <c r="BF41" s="25">
        <v>46849</v>
      </c>
      <c r="BG41" s="15" t="s">
        <v>82</v>
      </c>
      <c r="BH41" s="19" t="s">
        <v>83</v>
      </c>
      <c r="BI41" s="25">
        <v>45754</v>
      </c>
    </row>
    <row r="42" s="2" customFormat="1" ht="14.25" customHeight="1" spans="1:61">
      <c r="A42" s="15" t="s">
        <v>153</v>
      </c>
      <c r="B42" s="15" t="s">
        <v>161</v>
      </c>
      <c r="C42" s="15" t="s">
        <v>154</v>
      </c>
      <c r="D42" s="15" t="s">
        <v>154</v>
      </c>
      <c r="E42" s="15" t="s">
        <v>64</v>
      </c>
      <c r="F42" s="16">
        <v>45756</v>
      </c>
      <c r="G42" s="17" t="s">
        <v>104</v>
      </c>
      <c r="H42" s="18" t="s">
        <v>66</v>
      </c>
      <c r="I42" s="18" t="s">
        <v>67</v>
      </c>
      <c r="J42" s="19" t="s">
        <v>93</v>
      </c>
      <c r="K42" s="18" t="s">
        <v>94</v>
      </c>
      <c r="L42" s="15" t="s">
        <v>105</v>
      </c>
      <c r="M42" s="18" t="str">
        <f>VLOOKUP(C:C,'[1]1. 晋升基础条件审核表'!$B:$H,7,0)</f>
        <v>平台硬件工程师</v>
      </c>
      <c r="N42" s="17" t="s">
        <v>72</v>
      </c>
      <c r="O42" s="17" t="s">
        <v>73</v>
      </c>
      <c r="P42" s="20" t="s">
        <v>74</v>
      </c>
      <c r="Q42" s="17" t="s">
        <v>146</v>
      </c>
      <c r="R42" s="17" t="s">
        <v>143</v>
      </c>
      <c r="S42" s="17"/>
      <c r="T42" s="17"/>
      <c r="U42" s="17"/>
      <c r="V42" s="17"/>
      <c r="W42" s="17"/>
      <c r="X42" s="17"/>
      <c r="Y42" s="17"/>
      <c r="Z42" s="15" t="s">
        <v>76</v>
      </c>
      <c r="AA42" s="15" t="s">
        <v>77</v>
      </c>
      <c r="AB42" s="15" t="s">
        <v>78</v>
      </c>
      <c r="AC42" s="19">
        <f ca="1" t="shared" si="0"/>
        <v>37</v>
      </c>
      <c r="AD42" s="18" t="str">
        <f ca="1" t="shared" si="1"/>
        <v>35-40岁</v>
      </c>
      <c r="AE42" s="21">
        <v>32517</v>
      </c>
      <c r="AF42" s="22"/>
      <c r="AG42" s="12"/>
      <c r="AH42" s="22"/>
      <c r="AI42" s="15" t="s">
        <v>79</v>
      </c>
      <c r="AJ42" s="15" t="s">
        <v>137</v>
      </c>
      <c r="AK42" s="15"/>
      <c r="AL42" s="33"/>
      <c r="AM42" s="15"/>
      <c r="AN42" s="15"/>
      <c r="AO42" s="19"/>
      <c r="AP42" s="31"/>
      <c r="AQ42" s="15"/>
      <c r="AR42" s="15"/>
      <c r="AS42" s="19"/>
      <c r="AT42" s="15"/>
      <c r="AU42" s="15"/>
      <c r="AV42" s="15"/>
      <c r="AW42" s="15"/>
      <c r="AX42" s="19"/>
      <c r="AY42" s="25">
        <v>45756</v>
      </c>
      <c r="AZ42" s="26">
        <f ca="1" t="shared" si="2"/>
        <v>0.916666666666667</v>
      </c>
      <c r="BA42" s="18" t="str">
        <f ca="1" t="shared" si="3"/>
        <v>0.5-2年</v>
      </c>
      <c r="BB42" s="15" t="s">
        <v>81</v>
      </c>
      <c r="BC42" s="25">
        <v>39971</v>
      </c>
      <c r="BD42" s="26">
        <f ca="1" t="shared" si="4"/>
        <v>16.8333333333333</v>
      </c>
      <c r="BE42" s="18" t="str">
        <f ca="1" t="shared" si="5"/>
        <v>15年以上</v>
      </c>
      <c r="BF42" s="25">
        <v>46851</v>
      </c>
      <c r="BG42" s="15" t="s">
        <v>82</v>
      </c>
      <c r="BH42" s="19" t="s">
        <v>83</v>
      </c>
      <c r="BI42" s="25">
        <v>45756</v>
      </c>
    </row>
    <row r="43" s="2" customFormat="1" ht="14.25" customHeight="1" spans="1:61">
      <c r="A43" s="15" t="s">
        <v>155</v>
      </c>
      <c r="B43" s="15" t="s">
        <v>161</v>
      </c>
      <c r="C43" s="15" t="s">
        <v>156</v>
      </c>
      <c r="D43" s="15" t="s">
        <v>156</v>
      </c>
      <c r="E43" s="15" t="s">
        <v>64</v>
      </c>
      <c r="F43" s="16">
        <v>45817</v>
      </c>
      <c r="G43" s="17" t="s">
        <v>104</v>
      </c>
      <c r="H43" s="18" t="s">
        <v>66</v>
      </c>
      <c r="I43" s="18" t="s">
        <v>67</v>
      </c>
      <c r="J43" s="19" t="s">
        <v>86</v>
      </c>
      <c r="K43" s="18" t="s">
        <v>87</v>
      </c>
      <c r="L43" s="15" t="s">
        <v>157</v>
      </c>
      <c r="M43" s="18" t="s">
        <v>158</v>
      </c>
      <c r="N43" s="17" t="s">
        <v>159</v>
      </c>
      <c r="O43" s="17" t="s">
        <v>73</v>
      </c>
      <c r="P43" s="20" t="s">
        <v>74</v>
      </c>
      <c r="Q43" s="17" t="s">
        <v>146</v>
      </c>
      <c r="R43" s="17" t="s">
        <v>143</v>
      </c>
      <c r="S43" s="17"/>
      <c r="T43" s="17"/>
      <c r="U43" s="17"/>
      <c r="V43" s="17"/>
      <c r="W43" s="17"/>
      <c r="X43" s="17"/>
      <c r="Y43" s="17"/>
      <c r="Z43" s="15" t="s">
        <v>76</v>
      </c>
      <c r="AA43" s="15" t="s">
        <v>77</v>
      </c>
      <c r="AB43" s="15" t="s">
        <v>78</v>
      </c>
      <c r="AC43" s="19">
        <f ca="1" t="shared" si="0"/>
        <v>40</v>
      </c>
      <c r="AD43" s="18" t="str">
        <f ca="1" t="shared" si="1"/>
        <v>35-40岁</v>
      </c>
      <c r="AE43" s="21">
        <v>31444</v>
      </c>
      <c r="AF43" s="22"/>
      <c r="AG43" s="12"/>
      <c r="AH43" s="22"/>
      <c r="AI43" s="15" t="s">
        <v>82</v>
      </c>
      <c r="AJ43" s="15" t="s">
        <v>80</v>
      </c>
      <c r="AK43" s="15"/>
      <c r="AL43" s="27"/>
      <c r="AM43" s="15"/>
      <c r="AN43" s="15"/>
      <c r="AO43" s="19"/>
      <c r="AP43" s="31"/>
      <c r="AQ43" s="15"/>
      <c r="AR43" s="19"/>
      <c r="AS43" s="15"/>
      <c r="AT43" s="15"/>
      <c r="AU43" s="19"/>
      <c r="AV43" s="15"/>
      <c r="AW43" s="15"/>
      <c r="AX43" s="19"/>
      <c r="AY43" s="25">
        <v>45817</v>
      </c>
      <c r="AZ43" s="26">
        <f ca="1" t="shared" si="2"/>
        <v>0.75</v>
      </c>
      <c r="BA43" s="18" t="str">
        <f ca="1" t="shared" si="3"/>
        <v>0.5-2年</v>
      </c>
      <c r="BB43" s="15" t="s">
        <v>81</v>
      </c>
      <c r="BC43" s="16">
        <v>40575</v>
      </c>
      <c r="BD43" s="26">
        <f ca="1" t="shared" si="4"/>
        <v>15.1666666666667</v>
      </c>
      <c r="BE43" s="18" t="str">
        <f ca="1" t="shared" si="5"/>
        <v>15年以上</v>
      </c>
      <c r="BF43" s="25">
        <v>46912</v>
      </c>
      <c r="BG43" s="15" t="s">
        <v>82</v>
      </c>
      <c r="BH43" s="19" t="s">
        <v>160</v>
      </c>
      <c r="BI43" s="25">
        <v>45817</v>
      </c>
    </row>
    <row r="44" s="2" customFormat="1" ht="14.25" customHeight="1" spans="1:61">
      <c r="A44" s="15" t="s">
        <v>155</v>
      </c>
      <c r="B44" s="15" t="s">
        <v>161</v>
      </c>
      <c r="C44" s="15" t="s">
        <v>162</v>
      </c>
      <c r="D44" s="15" t="s">
        <v>156</v>
      </c>
      <c r="E44" s="15" t="s">
        <v>64</v>
      </c>
      <c r="F44" s="16">
        <v>45817</v>
      </c>
      <c r="G44" s="17" t="s">
        <v>104</v>
      </c>
      <c r="H44" s="18" t="s">
        <v>66</v>
      </c>
      <c r="I44" s="18" t="s">
        <v>67</v>
      </c>
      <c r="J44" s="19" t="s">
        <v>86</v>
      </c>
      <c r="K44" s="18" t="s">
        <v>87</v>
      </c>
      <c r="L44" s="15" t="s">
        <v>157</v>
      </c>
      <c r="M44" s="18" t="s">
        <v>158</v>
      </c>
      <c r="N44" s="17" t="s">
        <v>159</v>
      </c>
      <c r="O44" s="17" t="s">
        <v>73</v>
      </c>
      <c r="P44" s="20" t="s">
        <v>74</v>
      </c>
      <c r="Q44" s="17" t="s">
        <v>146</v>
      </c>
      <c r="R44" s="17" t="s">
        <v>143</v>
      </c>
      <c r="S44" s="17"/>
      <c r="T44" s="17"/>
      <c r="U44" s="17"/>
      <c r="V44" s="17"/>
      <c r="W44" s="17"/>
      <c r="X44" s="17"/>
      <c r="Y44" s="17"/>
      <c r="Z44" s="15" t="s">
        <v>76</v>
      </c>
      <c r="AA44" s="15" t="s">
        <v>77</v>
      </c>
      <c r="AB44" s="15" t="s">
        <v>78</v>
      </c>
      <c r="AC44" s="19">
        <f ca="1" t="shared" si="0"/>
        <v>40</v>
      </c>
      <c r="AD44" s="18" t="str">
        <f ca="1" t="shared" si="1"/>
        <v>35-40岁</v>
      </c>
      <c r="AE44" s="21">
        <v>31444</v>
      </c>
      <c r="AF44" s="22"/>
      <c r="AG44" s="12"/>
      <c r="AH44" s="22"/>
      <c r="AI44" s="15" t="s">
        <v>82</v>
      </c>
      <c r="AJ44" s="15" t="s">
        <v>80</v>
      </c>
      <c r="AK44" s="15"/>
      <c r="AL44" s="27"/>
      <c r="AM44" s="15"/>
      <c r="AN44" s="15"/>
      <c r="AO44" s="19"/>
      <c r="AP44" s="31"/>
      <c r="AQ44" s="15"/>
      <c r="AR44" s="19"/>
      <c r="AS44" s="15"/>
      <c r="AT44" s="15"/>
      <c r="AU44" s="19"/>
      <c r="AV44" s="15"/>
      <c r="AW44" s="15"/>
      <c r="AX44" s="19"/>
      <c r="AY44" s="25">
        <v>45817</v>
      </c>
      <c r="AZ44" s="26">
        <f ca="1" t="shared" si="2"/>
        <v>0.75</v>
      </c>
      <c r="BA44" s="18" t="str">
        <f ca="1" t="shared" si="3"/>
        <v>0.5-2年</v>
      </c>
      <c r="BB44" s="15" t="s">
        <v>81</v>
      </c>
      <c r="BC44" s="16">
        <v>40575</v>
      </c>
      <c r="BD44" s="26">
        <f ca="1" t="shared" si="4"/>
        <v>15.1666666666667</v>
      </c>
      <c r="BE44" s="18" t="str">
        <f ca="1" t="shared" si="5"/>
        <v>15年以上</v>
      </c>
      <c r="BF44" s="25">
        <v>46912</v>
      </c>
      <c r="BG44" s="15" t="s">
        <v>82</v>
      </c>
      <c r="BH44" s="19" t="s">
        <v>160</v>
      </c>
      <c r="BI44" s="25">
        <v>45817</v>
      </c>
    </row>
    <row r="45" s="2" customFormat="1" ht="14.25" customHeight="1" spans="1:61">
      <c r="A45" s="15" t="s">
        <v>155</v>
      </c>
      <c r="B45" s="15" t="s">
        <v>161</v>
      </c>
      <c r="C45" s="15" t="s">
        <v>163</v>
      </c>
      <c r="D45" s="15" t="s">
        <v>156</v>
      </c>
      <c r="E45" s="15" t="s">
        <v>64</v>
      </c>
      <c r="F45" s="16">
        <v>45817</v>
      </c>
      <c r="G45" s="17" t="s">
        <v>104</v>
      </c>
      <c r="H45" s="18" t="s">
        <v>66</v>
      </c>
      <c r="I45" s="18" t="s">
        <v>67</v>
      </c>
      <c r="J45" s="19" t="s">
        <v>86</v>
      </c>
      <c r="K45" s="18" t="s">
        <v>87</v>
      </c>
      <c r="L45" s="15" t="s">
        <v>157</v>
      </c>
      <c r="M45" s="18" t="s">
        <v>158</v>
      </c>
      <c r="N45" s="17" t="s">
        <v>159</v>
      </c>
      <c r="O45" s="17" t="s">
        <v>73</v>
      </c>
      <c r="P45" s="20" t="s">
        <v>74</v>
      </c>
      <c r="Q45" s="17" t="s">
        <v>146</v>
      </c>
      <c r="R45" s="17" t="s">
        <v>143</v>
      </c>
      <c r="S45" s="17"/>
      <c r="T45" s="17"/>
      <c r="U45" s="17"/>
      <c r="V45" s="17"/>
      <c r="W45" s="17"/>
      <c r="X45" s="17"/>
      <c r="Y45" s="17"/>
      <c r="Z45" s="15" t="s">
        <v>76</v>
      </c>
      <c r="AA45" s="15" t="s">
        <v>77</v>
      </c>
      <c r="AB45" s="15" t="s">
        <v>78</v>
      </c>
      <c r="AC45" s="19">
        <f ca="1" t="shared" si="0"/>
        <v>40</v>
      </c>
      <c r="AD45" s="18" t="str">
        <f ca="1" t="shared" si="1"/>
        <v>35-40岁</v>
      </c>
      <c r="AE45" s="21">
        <v>31444</v>
      </c>
      <c r="AF45" s="22"/>
      <c r="AG45" s="12"/>
      <c r="AH45" s="22"/>
      <c r="AI45" s="15" t="s">
        <v>82</v>
      </c>
      <c r="AJ45" s="15" t="s">
        <v>80</v>
      </c>
      <c r="AK45" s="15"/>
      <c r="AL45" s="27"/>
      <c r="AM45" s="15"/>
      <c r="AN45" s="15"/>
      <c r="AO45" s="19"/>
      <c r="AP45" s="31"/>
      <c r="AQ45" s="15"/>
      <c r="AR45" s="19"/>
      <c r="AS45" s="15"/>
      <c r="AT45" s="15"/>
      <c r="AU45" s="19"/>
      <c r="AV45" s="15"/>
      <c r="AW45" s="15"/>
      <c r="AX45" s="19"/>
      <c r="AY45" s="25">
        <v>45817</v>
      </c>
      <c r="AZ45" s="26">
        <f ca="1" t="shared" si="2"/>
        <v>0.75</v>
      </c>
      <c r="BA45" s="18" t="str">
        <f ca="1" t="shared" si="3"/>
        <v>0.5-2年</v>
      </c>
      <c r="BB45" s="15" t="s">
        <v>81</v>
      </c>
      <c r="BC45" s="16">
        <v>40575</v>
      </c>
      <c r="BD45" s="26">
        <f ca="1" t="shared" si="4"/>
        <v>15.1666666666667</v>
      </c>
      <c r="BE45" s="18" t="str">
        <f ca="1" t="shared" si="5"/>
        <v>15年以上</v>
      </c>
      <c r="BF45" s="25">
        <v>46912</v>
      </c>
      <c r="BG45" s="15" t="s">
        <v>82</v>
      </c>
      <c r="BH45" s="19" t="s">
        <v>160</v>
      </c>
      <c r="BI45" s="25">
        <v>45817</v>
      </c>
    </row>
    <row r="46" s="2" customFormat="1" ht="14.25" customHeight="1" spans="1:61">
      <c r="A46" s="15" t="s">
        <v>155</v>
      </c>
      <c r="B46" s="15" t="s">
        <v>161</v>
      </c>
      <c r="C46" s="15" t="s">
        <v>164</v>
      </c>
      <c r="D46" s="15" t="s">
        <v>156</v>
      </c>
      <c r="E46" s="15" t="s">
        <v>64</v>
      </c>
      <c r="F46" s="16">
        <v>45817</v>
      </c>
      <c r="G46" s="17" t="s">
        <v>104</v>
      </c>
      <c r="H46" s="18" t="s">
        <v>66</v>
      </c>
      <c r="I46" s="18" t="s">
        <v>67</v>
      </c>
      <c r="J46" s="19" t="s">
        <v>86</v>
      </c>
      <c r="K46" s="18" t="s">
        <v>87</v>
      </c>
      <c r="L46" s="15" t="s">
        <v>157</v>
      </c>
      <c r="M46" s="18" t="s">
        <v>158</v>
      </c>
      <c r="N46" s="17" t="s">
        <v>159</v>
      </c>
      <c r="O46" s="17" t="s">
        <v>73</v>
      </c>
      <c r="P46" s="20" t="s">
        <v>74</v>
      </c>
      <c r="Q46" s="17" t="s">
        <v>146</v>
      </c>
      <c r="R46" s="17" t="s">
        <v>143</v>
      </c>
      <c r="S46" s="17"/>
      <c r="T46" s="17"/>
      <c r="U46" s="17"/>
      <c r="V46" s="17"/>
      <c r="W46" s="17"/>
      <c r="X46" s="17"/>
      <c r="Y46" s="17"/>
      <c r="Z46" s="15" t="s">
        <v>76</v>
      </c>
      <c r="AA46" s="15" t="s">
        <v>77</v>
      </c>
      <c r="AB46" s="15" t="s">
        <v>78</v>
      </c>
      <c r="AC46" s="19">
        <f ca="1" t="shared" si="0"/>
        <v>40</v>
      </c>
      <c r="AD46" s="18" t="str">
        <f ca="1" t="shared" si="1"/>
        <v>35-40岁</v>
      </c>
      <c r="AE46" s="21">
        <v>31444</v>
      </c>
      <c r="AF46" s="22"/>
      <c r="AG46" s="12"/>
      <c r="AH46" s="22"/>
      <c r="AI46" s="15" t="s">
        <v>82</v>
      </c>
      <c r="AJ46" s="15" t="s">
        <v>80</v>
      </c>
      <c r="AK46" s="15"/>
      <c r="AL46" s="27"/>
      <c r="AM46" s="15"/>
      <c r="AN46" s="15"/>
      <c r="AO46" s="19"/>
      <c r="AP46" s="31"/>
      <c r="AQ46" s="15"/>
      <c r="AR46" s="19"/>
      <c r="AS46" s="15"/>
      <c r="AT46" s="15"/>
      <c r="AU46" s="19"/>
      <c r="AV46" s="15"/>
      <c r="AW46" s="15"/>
      <c r="AX46" s="19"/>
      <c r="AY46" s="25">
        <v>45817</v>
      </c>
      <c r="AZ46" s="26">
        <f ca="1" t="shared" si="2"/>
        <v>0.75</v>
      </c>
      <c r="BA46" s="18" t="str">
        <f ca="1" t="shared" si="3"/>
        <v>0.5-2年</v>
      </c>
      <c r="BB46" s="15" t="s">
        <v>81</v>
      </c>
      <c r="BC46" s="16">
        <v>40575</v>
      </c>
      <c r="BD46" s="26">
        <f ca="1" t="shared" si="4"/>
        <v>15.1666666666667</v>
      </c>
      <c r="BE46" s="18" t="str">
        <f ca="1" t="shared" si="5"/>
        <v>15年以上</v>
      </c>
      <c r="BF46" s="25">
        <v>46912</v>
      </c>
      <c r="BG46" s="15" t="s">
        <v>82</v>
      </c>
      <c r="BH46" s="19" t="s">
        <v>160</v>
      </c>
      <c r="BI46" s="25">
        <v>45817</v>
      </c>
    </row>
  </sheetData>
  <conditionalFormatting sqref="D1">
    <cfRule type="duplicateValues" dxfId="0" priority="9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25" customHeight="1"/>
  <sheetData/>
  <sheetProtection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Miss Echo</cp:lastModifiedBy>
  <dcterms:created xsi:type="dcterms:W3CDTF">2006-09-16T00:00:00Z</dcterms:created>
  <dcterms:modified xsi:type="dcterms:W3CDTF">2026-04-08T10:10:00Z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E4745ED315B94535A3485174F0A36337_13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